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z\OneDrive\Documents\"/>
    </mc:Choice>
  </mc:AlternateContent>
  <bookViews>
    <workbookView xWindow="0" yWindow="0" windowWidth="7488" windowHeight="7584"/>
  </bookViews>
  <sheets>
    <sheet name="Sheet5" sheetId="5" r:id="rId1"/>
    <sheet name="Sheet1" sheetId="1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G2" i="1" l="1"/>
  <c r="I19" i="1" l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</calcChain>
</file>

<file path=xl/sharedStrings.xml><?xml version="1.0" encoding="utf-8"?>
<sst xmlns="http://schemas.openxmlformats.org/spreadsheetml/2006/main" count="70" uniqueCount="26">
  <si>
    <t>Period</t>
  </si>
  <si>
    <t>kWh</t>
  </si>
  <si>
    <t>Scenario</t>
  </si>
  <si>
    <t>2025-01</t>
  </si>
  <si>
    <t>Baseline</t>
  </si>
  <si>
    <t>Renewables</t>
  </si>
  <si>
    <t>50% Solar</t>
  </si>
  <si>
    <t>2025-02</t>
  </si>
  <si>
    <t>2025-03</t>
  </si>
  <si>
    <t>2025-04</t>
  </si>
  <si>
    <t>2025-05</t>
  </si>
  <si>
    <t>2025-06</t>
  </si>
  <si>
    <t>Row Labels</t>
  </si>
  <si>
    <t>Grand Total</t>
  </si>
  <si>
    <t>Emission Factor High</t>
  </si>
  <si>
    <t>Emission Factor Low</t>
  </si>
  <si>
    <t>Emission Factor (DEFRA/BEIS 2024)</t>
  </si>
  <si>
    <t>Total Emissions LowEF</t>
  </si>
  <si>
    <t>Total Emissions AvgEF</t>
  </si>
  <si>
    <t>Total Emissions HighEF</t>
  </si>
  <si>
    <t>Sum of Total Emissions LowEF</t>
  </si>
  <si>
    <t>Sum of Total Emissions AvgEF</t>
  </si>
  <si>
    <t>Sum of Total Emissions HighEF</t>
  </si>
  <si>
    <t xml:space="preserve"> Emissions LowEF</t>
  </si>
  <si>
    <t>Emissions Base EF</t>
  </si>
  <si>
    <t>Emissions HighEF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</si>
</sst>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92825896762903"/>
          <c:y val="8.3333333333333329E-2"/>
          <c:w val="0.78946762904636925"/>
          <c:h val="0.63759988334791484"/>
        </c:manualLayout>
      </c:layout>
      <c:areaChart>
        <c:grouping val="stacked"/>
        <c:varyColors val="0"/>
        <c:ser>
          <c:idx val="0"/>
          <c:order val="0"/>
          <c:tx>
            <c:strRef>
              <c:f>Sheet5!$B$16</c:f>
              <c:strCache>
                <c:ptCount val="1"/>
                <c:pt idx="0">
                  <c:v>Emissions HighEF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Sheet5!$A$17:$A$22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Sheet5!$B$17:$B$22</c:f>
              <c:numCache>
                <c:formatCode>General</c:formatCode>
                <c:ptCount val="6"/>
                <c:pt idx="0">
                  <c:v>46.480000000000004</c:v>
                </c:pt>
                <c:pt idx="1">
                  <c:v>53.760000000000005</c:v>
                </c:pt>
                <c:pt idx="2">
                  <c:v>24.080000000000002</c:v>
                </c:pt>
                <c:pt idx="3">
                  <c:v>49.000000000000007</c:v>
                </c:pt>
                <c:pt idx="4">
                  <c:v>50.400000000000006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B-4502-9AE5-410B00C00F35}"/>
            </c:ext>
          </c:extLst>
        </c:ser>
        <c:ser>
          <c:idx val="1"/>
          <c:order val="1"/>
          <c:tx>
            <c:strRef>
              <c:f>Sheet5!$C$16</c:f>
              <c:strCache>
                <c:ptCount val="1"/>
                <c:pt idx="0">
                  <c:v>Emissions Base 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Sheet5!$A$17:$A$22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Sheet5!$C$17:$C$22</c:f>
              <c:numCache>
                <c:formatCode>General</c:formatCode>
                <c:ptCount val="6"/>
                <c:pt idx="0">
                  <c:v>38.678000000000004</c:v>
                </c:pt>
                <c:pt idx="1">
                  <c:v>44.736000000000004</c:v>
                </c:pt>
                <c:pt idx="2">
                  <c:v>20.038</c:v>
                </c:pt>
                <c:pt idx="3">
                  <c:v>40.775000000000006</c:v>
                </c:pt>
                <c:pt idx="4">
                  <c:v>41.940000000000005</c:v>
                </c:pt>
                <c:pt idx="5">
                  <c:v>29.125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B-4502-9AE5-410B00C00F35}"/>
            </c:ext>
          </c:extLst>
        </c:ser>
        <c:ser>
          <c:idx val="2"/>
          <c:order val="2"/>
          <c:tx>
            <c:strRef>
              <c:f>Sheet5!$D$16</c:f>
              <c:strCache>
                <c:ptCount val="1"/>
                <c:pt idx="0">
                  <c:v> Emissions LowEF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Sheet5!$A$17:$A$22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Sheet5!$D$17:$D$22</c:f>
              <c:numCache>
                <c:formatCode>General</c:formatCode>
                <c:ptCount val="6"/>
                <c:pt idx="0">
                  <c:v>29.88</c:v>
                </c:pt>
                <c:pt idx="1">
                  <c:v>34.56</c:v>
                </c:pt>
                <c:pt idx="2">
                  <c:v>15.479999999999999</c:v>
                </c:pt>
                <c:pt idx="3">
                  <c:v>31.5</c:v>
                </c:pt>
                <c:pt idx="4">
                  <c:v>32.4</c:v>
                </c:pt>
                <c:pt idx="5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B-4502-9AE5-410B00C00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253840"/>
        <c:axId val="1323255504"/>
      </c:areaChart>
      <c:catAx>
        <c:axId val="132325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Period</a:t>
                </a:r>
              </a:p>
            </c:rich>
          </c:tx>
          <c:layout>
            <c:manualLayout>
              <c:xMode val="edge"/>
              <c:yMode val="edge"/>
              <c:x val="0.47403696412948382"/>
              <c:y val="0.81444371536891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5504"/>
        <c:crosses val="autoZero"/>
        <c:auto val="1"/>
        <c:lblAlgn val="ctr"/>
        <c:lblOffset val="100"/>
        <c:noMultiLvlLbl val="0"/>
      </c:catAx>
      <c:valAx>
        <c:axId val="13232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Emissions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109142607174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Sheet5!$B$10</c:f>
              <c:strCache>
                <c:ptCount val="1"/>
                <c:pt idx="0">
                  <c:v>Sum of Total Emissions HighEF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Sheet5!$A$11:$A$13</c:f>
              <c:strCache>
                <c:ptCount val="3"/>
                <c:pt idx="0">
                  <c:v>50% Solar</c:v>
                </c:pt>
                <c:pt idx="1">
                  <c:v>Baseline</c:v>
                </c:pt>
                <c:pt idx="2">
                  <c:v>Renewables</c:v>
                </c:pt>
              </c:strCache>
            </c:strRef>
          </c:cat>
          <c:val>
            <c:numRef>
              <c:f>Sheet5!$B$11:$B$13</c:f>
              <c:numCache>
                <c:formatCode>General</c:formatCode>
                <c:ptCount val="3"/>
                <c:pt idx="0">
                  <c:v>129.36000000000001</c:v>
                </c:pt>
                <c:pt idx="1">
                  <c:v>258.72000000000003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3-4F8F-ABB7-B015CA5D72C1}"/>
            </c:ext>
          </c:extLst>
        </c:ser>
        <c:ser>
          <c:idx val="1"/>
          <c:order val="1"/>
          <c:tx>
            <c:strRef>
              <c:f>Sheet5!$C$10</c:f>
              <c:strCache>
                <c:ptCount val="1"/>
                <c:pt idx="0">
                  <c:v>Sum of Total Emissions AvgEF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Sheet5!$A$11:$A$13</c:f>
              <c:strCache>
                <c:ptCount val="3"/>
                <c:pt idx="0">
                  <c:v>50% Solar</c:v>
                </c:pt>
                <c:pt idx="1">
                  <c:v>Baseline</c:v>
                </c:pt>
                <c:pt idx="2">
                  <c:v>Renewables</c:v>
                </c:pt>
              </c:strCache>
            </c:strRef>
          </c:cat>
          <c:val>
            <c:numRef>
              <c:f>Sheet5!$C$11:$C$13</c:f>
              <c:numCache>
                <c:formatCode>General</c:formatCode>
                <c:ptCount val="3"/>
                <c:pt idx="0">
                  <c:v>107.64600000000002</c:v>
                </c:pt>
                <c:pt idx="1">
                  <c:v>215.29200000000003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3-4F8F-ABB7-B015CA5D72C1}"/>
            </c:ext>
          </c:extLst>
        </c:ser>
        <c:ser>
          <c:idx val="2"/>
          <c:order val="2"/>
          <c:tx>
            <c:strRef>
              <c:f>Sheet5!$D$10</c:f>
              <c:strCache>
                <c:ptCount val="1"/>
                <c:pt idx="0">
                  <c:v>Sum of Total Emissions LowEF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Sheet5!$A$11:$A$13</c:f>
              <c:strCache>
                <c:ptCount val="3"/>
                <c:pt idx="0">
                  <c:v>50% Solar</c:v>
                </c:pt>
                <c:pt idx="1">
                  <c:v>Baseline</c:v>
                </c:pt>
                <c:pt idx="2">
                  <c:v>Renewables</c:v>
                </c:pt>
              </c:strCache>
            </c:strRef>
          </c:cat>
          <c:val>
            <c:numRef>
              <c:f>Sheet5!$D$11:$D$13</c:f>
              <c:numCache>
                <c:formatCode>General</c:formatCode>
                <c:ptCount val="3"/>
                <c:pt idx="0">
                  <c:v>83.16</c:v>
                </c:pt>
                <c:pt idx="1">
                  <c:v>166.32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83-4F8F-ABB7-B015CA5D7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241360"/>
        <c:axId val="1323243440"/>
      </c:barChart>
      <c:catAx>
        <c:axId val="132324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3440"/>
        <c:crosses val="autoZero"/>
        <c:auto val="1"/>
        <c:lblAlgn val="ctr"/>
        <c:lblOffset val="100"/>
        <c:noMultiLvlLbl val="0"/>
      </c:catAx>
      <c:valAx>
        <c:axId val="13232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Total</a:t>
                </a:r>
                <a:r>
                  <a:rPr lang="en-GB" sz="800" baseline="0"/>
                  <a:t> Emissions </a:t>
                </a:r>
                <a:endParaRPr lang="en-GB" sz="800"/>
              </a:p>
            </c:rich>
          </c:tx>
          <c:layout>
            <c:manualLayout>
              <c:xMode val="edge"/>
              <c:yMode val="edge"/>
              <c:x val="2.2222222222222223E-2"/>
              <c:y val="0.291850393700787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1565910</xdr:colOff>
      <xdr:row>3</xdr:row>
      <xdr:rowOff>175259</xdr:rowOff>
    </xdr:from>
    <xdr:to>
      <xdr:col>8</xdr:col>
      <xdr:colOff>274320</xdr:colOff>
      <xdr:row>18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18</xdr:row>
      <xdr:rowOff>127635</xdr:rowOff>
    </xdr:from>
    <xdr:to>
      <xdr:col>6</xdr:col>
      <xdr:colOff>1520190</xdr:colOff>
      <xdr:row>33</xdr:row>
      <xdr:rowOff>127635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yaz" refreshedDate="45937.58379733796" createdVersion="6" refreshedVersion="6" minRefreshableVersion="3" recordCount="18">
  <cacheSource type="worksheet">
    <worksheetSource ref="A1:I19" sheet="Sheet1"/>
  </cacheSource>
  <cacheFields count="9">
    <cacheField name="Period" numFmtId="0">
      <sharedItems count="6">
        <s v="2025-01"/>
        <s v="2025-02"/>
        <s v="2025-03"/>
        <s v="2025-04"/>
        <s v="2025-05"/>
        <s v="2025-06"/>
      </sharedItems>
    </cacheField>
    <cacheField name="kWh" numFmtId="0">
      <sharedItems containsSemiMixedTypes="0" containsString="0" containsNumber="1" containsInteger="1" minValue="86" maxValue="192"/>
    </cacheField>
    <cacheField name="Scenario" numFmtId="0">
      <sharedItems count="3">
        <s v="Baseline"/>
        <s v="Renewables"/>
        <s v="50% Solar"/>
      </sharedItems>
    </cacheField>
    <cacheField name="Emission Factor Low" numFmtId="0">
      <sharedItems containsSemiMixedTypes="0" containsString="0" containsNumber="1" minValue="0" maxValue="0.18"/>
    </cacheField>
    <cacheField name="Emission Factor (DEFRA/BEIS 2024)" numFmtId="0">
      <sharedItems containsSemiMixedTypes="0" containsString="0" containsNumber="1" minValue="0" maxValue="0.23300000000000001"/>
    </cacheField>
    <cacheField name="Emission Factor High" numFmtId="0">
      <sharedItems containsSemiMixedTypes="0" containsString="0" containsNumber="1" minValue="0" maxValue="0.28000000000000003"/>
    </cacheField>
    <cacheField name="Total Emissions LowEF" numFmtId="0">
      <sharedItems containsSemiMixedTypes="0" containsString="0" containsNumber="1" minValue="0" maxValue="34.56"/>
    </cacheField>
    <cacheField name="Total Emissions AvgEF" numFmtId="0">
      <sharedItems containsSemiMixedTypes="0" containsString="0" containsNumber="1" minValue="0" maxValue="44.736000000000004"/>
    </cacheField>
    <cacheField name="Total Emissions HighEF" numFmtId="0">
      <sharedItems containsSemiMixedTypes="0" containsString="0" containsNumber="1" minValue="0" maxValue="53.76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n v="166"/>
    <x v="0"/>
    <n v="0.18"/>
    <n v="0.23300000000000001"/>
    <n v="0.28000000000000003"/>
    <n v="29.88"/>
    <n v="38.678000000000004"/>
    <n v="46.480000000000004"/>
  </r>
  <r>
    <x v="0"/>
    <n v="166"/>
    <x v="1"/>
    <n v="0"/>
    <n v="0"/>
    <n v="0"/>
    <n v="0"/>
    <n v="0"/>
    <n v="0"/>
  </r>
  <r>
    <x v="0"/>
    <n v="166"/>
    <x v="2"/>
    <n v="0.09"/>
    <n v="0.11650000000000001"/>
    <n v="0.14000000000000001"/>
    <n v="14.94"/>
    <n v="19.339000000000002"/>
    <n v="23.240000000000002"/>
  </r>
  <r>
    <x v="1"/>
    <n v="192"/>
    <x v="0"/>
    <n v="0.18"/>
    <n v="0.23300000000000001"/>
    <n v="0.28000000000000003"/>
    <n v="34.56"/>
    <n v="44.736000000000004"/>
    <n v="53.760000000000005"/>
  </r>
  <r>
    <x v="1"/>
    <n v="192"/>
    <x v="1"/>
    <n v="0"/>
    <n v="0"/>
    <n v="0"/>
    <n v="0"/>
    <n v="0"/>
    <n v="0"/>
  </r>
  <r>
    <x v="1"/>
    <n v="192"/>
    <x v="2"/>
    <n v="0.09"/>
    <n v="0.11650000000000001"/>
    <n v="0.14000000000000001"/>
    <n v="17.28"/>
    <n v="22.368000000000002"/>
    <n v="26.880000000000003"/>
  </r>
  <r>
    <x v="2"/>
    <n v="86"/>
    <x v="0"/>
    <n v="0.18"/>
    <n v="0.23300000000000001"/>
    <n v="0.28000000000000003"/>
    <n v="15.479999999999999"/>
    <n v="20.038"/>
    <n v="24.080000000000002"/>
  </r>
  <r>
    <x v="2"/>
    <n v="86"/>
    <x v="1"/>
    <n v="0"/>
    <n v="0"/>
    <n v="0"/>
    <n v="0"/>
    <n v="0"/>
    <n v="0"/>
  </r>
  <r>
    <x v="2"/>
    <n v="86"/>
    <x v="2"/>
    <n v="0.09"/>
    <n v="0.11650000000000001"/>
    <n v="0.14000000000000001"/>
    <n v="7.7399999999999993"/>
    <n v="10.019"/>
    <n v="12.040000000000001"/>
  </r>
  <r>
    <x v="3"/>
    <n v="175"/>
    <x v="0"/>
    <n v="0.18"/>
    <n v="0.23300000000000001"/>
    <n v="0.28000000000000003"/>
    <n v="31.5"/>
    <n v="40.775000000000006"/>
    <n v="49.000000000000007"/>
  </r>
  <r>
    <x v="3"/>
    <n v="175"/>
    <x v="1"/>
    <n v="0"/>
    <n v="0"/>
    <n v="0"/>
    <n v="0"/>
    <n v="0"/>
    <n v="0"/>
  </r>
  <r>
    <x v="3"/>
    <n v="175"/>
    <x v="2"/>
    <n v="0.09"/>
    <n v="0.11650000000000001"/>
    <n v="0.14000000000000001"/>
    <n v="15.75"/>
    <n v="20.387500000000003"/>
    <n v="24.500000000000004"/>
  </r>
  <r>
    <x v="4"/>
    <n v="180"/>
    <x v="0"/>
    <n v="0.18"/>
    <n v="0.23300000000000001"/>
    <n v="0.28000000000000003"/>
    <n v="32.4"/>
    <n v="41.940000000000005"/>
    <n v="50.400000000000006"/>
  </r>
  <r>
    <x v="4"/>
    <n v="180"/>
    <x v="1"/>
    <n v="0"/>
    <n v="0"/>
    <n v="0"/>
    <n v="0"/>
    <n v="0"/>
    <n v="0"/>
  </r>
  <r>
    <x v="4"/>
    <n v="180"/>
    <x v="2"/>
    <n v="0.09"/>
    <n v="0.11650000000000001"/>
    <n v="0.14000000000000001"/>
    <n v="16.2"/>
    <n v="20.970000000000002"/>
    <n v="25.200000000000003"/>
  </r>
  <r>
    <x v="5"/>
    <n v="125"/>
    <x v="0"/>
    <n v="0.18"/>
    <n v="0.23300000000000001"/>
    <n v="0.28000000000000003"/>
    <n v="22.5"/>
    <n v="29.125"/>
    <n v="35"/>
  </r>
  <r>
    <x v="5"/>
    <n v="125"/>
    <x v="1"/>
    <n v="0"/>
    <n v="0"/>
    <n v="0"/>
    <n v="0"/>
    <n v="0"/>
    <n v="0"/>
  </r>
  <r>
    <x v="5"/>
    <n v="125"/>
    <x v="2"/>
    <n v="0.09"/>
    <n v="0.11650000000000001"/>
    <n v="0.14000000000000001"/>
    <n v="11.25"/>
    <n v="14.5625"/>
    <n v="1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0" firstDataRow="1" firstDataCol="1"/>
  <pivotFields count="9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multipleItemSelectionAllowed="1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missions HighEF" fld="8" baseField="0" baseItem="0"/>
    <dataField name="Sum of Total Emissions AvgEF" fld="7" baseField="0" baseItem="0"/>
    <dataField name="Sum of Total Emissions LowEF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tabSelected="1" topLeftCell="A3" workbookViewId="0">
      <selection activeCell="F11" sqref="F11"/>
    </sheetView>
  </sheetViews>
  <sheetFormatPr defaultRowHeight="14.4" x14ac:dyDescent="0.55000000000000004"/>
  <cols>
    <col min="1" max="1" width="12.05078125" customWidth="1"/>
    <col min="2" max="2" width="25.3671875" customWidth="1"/>
    <col min="3" max="3" width="24.68359375" customWidth="1"/>
    <col min="4" max="4" width="25.05078125" customWidth="1"/>
    <col min="5" max="5" width="23.62890625" customWidth="1"/>
    <col min="6" max="6" width="25.3671875" bestFit="1" customWidth="1"/>
    <col min="7" max="8" width="25.3671875" customWidth="1"/>
    <col min="9" max="9" width="25.3671875" bestFit="1" customWidth="1"/>
    <col min="10" max="12" width="25.3671875" customWidth="1"/>
    <col min="13" max="13" width="29.9453125" bestFit="1" customWidth="1"/>
    <col min="14" max="14" width="29.3125" bestFit="1" customWidth="1"/>
    <col min="15" max="15" width="29.62890625" bestFit="1" customWidth="1"/>
    <col min="16" max="16" width="28.20703125" bestFit="1" customWidth="1"/>
  </cols>
  <sheetData>
    <row r="3" spans="1:5" x14ac:dyDescent="0.55000000000000004">
      <c r="A3" s="9" t="s">
        <v>12</v>
      </c>
      <c r="B3" t="s">
        <v>22</v>
      </c>
      <c r="C3" t="s">
        <v>21</v>
      </c>
      <c r="D3" t="s">
        <v>20</v>
      </c>
    </row>
    <row r="4" spans="1:5" x14ac:dyDescent="0.55000000000000004">
      <c r="A4" s="11" t="s">
        <v>6</v>
      </c>
      <c r="B4" s="10">
        <v>129.36000000000001</v>
      </c>
      <c r="C4" s="10">
        <v>107.64600000000002</v>
      </c>
      <c r="D4" s="10">
        <v>83.16</v>
      </c>
    </row>
    <row r="5" spans="1:5" x14ac:dyDescent="0.55000000000000004">
      <c r="A5" s="11" t="s">
        <v>4</v>
      </c>
      <c r="B5" s="10">
        <v>258.72000000000003</v>
      </c>
      <c r="C5" s="10">
        <v>215.29200000000003</v>
      </c>
      <c r="D5" s="10">
        <v>166.32</v>
      </c>
    </row>
    <row r="6" spans="1:5" x14ac:dyDescent="0.55000000000000004">
      <c r="A6" s="11" t="s">
        <v>5</v>
      </c>
      <c r="B6" s="10">
        <v>0</v>
      </c>
      <c r="C6" s="10">
        <v>0</v>
      </c>
      <c r="D6" s="10">
        <v>0</v>
      </c>
    </row>
    <row r="7" spans="1:5" x14ac:dyDescent="0.55000000000000004">
      <c r="A7" s="11" t="s">
        <v>13</v>
      </c>
      <c r="B7" s="10">
        <v>388.08000000000004</v>
      </c>
      <c r="C7" s="10">
        <v>322.93800000000005</v>
      </c>
      <c r="D7" s="10">
        <v>249.48</v>
      </c>
    </row>
    <row r="10" spans="1:5" x14ac:dyDescent="0.55000000000000004">
      <c r="A10" s="13" t="s">
        <v>2</v>
      </c>
      <c r="B10" s="13" t="s">
        <v>22</v>
      </c>
      <c r="C10" s="13" t="s">
        <v>21</v>
      </c>
      <c r="D10" s="13" t="s">
        <v>20</v>
      </c>
    </row>
    <row r="11" spans="1:5" x14ac:dyDescent="0.55000000000000004">
      <c r="A11" s="11" t="s">
        <v>6</v>
      </c>
      <c r="B11" s="10">
        <v>129.36000000000001</v>
      </c>
      <c r="C11" s="10">
        <v>107.64600000000002</v>
      </c>
      <c r="D11" s="10">
        <v>83.16</v>
      </c>
      <c r="E11" s="10"/>
    </row>
    <row r="12" spans="1:5" x14ac:dyDescent="0.55000000000000004">
      <c r="A12" s="11" t="s">
        <v>4</v>
      </c>
      <c r="B12" s="10">
        <v>258.72000000000003</v>
      </c>
      <c r="C12" s="10">
        <v>215.29200000000003</v>
      </c>
      <c r="D12" s="10">
        <v>166.32</v>
      </c>
      <c r="E12" s="10"/>
    </row>
    <row r="13" spans="1:5" x14ac:dyDescent="0.55000000000000004">
      <c r="A13" s="11" t="s">
        <v>5</v>
      </c>
      <c r="B13" s="10"/>
      <c r="C13" s="10"/>
      <c r="D13" s="10"/>
      <c r="E13" s="10"/>
    </row>
    <row r="15" spans="1:5" x14ac:dyDescent="0.55000000000000004">
      <c r="E15" s="10"/>
    </row>
    <row r="16" spans="1:5" x14ac:dyDescent="0.55000000000000004">
      <c r="A16" s="13" t="s">
        <v>0</v>
      </c>
      <c r="B16" s="13" t="s">
        <v>25</v>
      </c>
      <c r="C16" s="13" t="s">
        <v>24</v>
      </c>
      <c r="D16" s="13" t="s">
        <v>23</v>
      </c>
      <c r="E16" s="10"/>
    </row>
    <row r="17" spans="1:8" x14ac:dyDescent="0.55000000000000004">
      <c r="A17" s="11" t="s">
        <v>3</v>
      </c>
      <c r="B17" s="10">
        <v>46.480000000000004</v>
      </c>
      <c r="C17" s="10">
        <v>38.678000000000004</v>
      </c>
      <c r="D17" s="10">
        <v>29.88</v>
      </c>
      <c r="E17" s="10"/>
    </row>
    <row r="18" spans="1:8" x14ac:dyDescent="0.55000000000000004">
      <c r="A18" s="11" t="s">
        <v>7</v>
      </c>
      <c r="B18" s="10">
        <v>53.760000000000005</v>
      </c>
      <c r="C18" s="10">
        <v>44.736000000000004</v>
      </c>
      <c r="D18" s="10">
        <v>34.56</v>
      </c>
      <c r="E18" s="10"/>
    </row>
    <row r="19" spans="1:8" x14ac:dyDescent="0.55000000000000004">
      <c r="A19" s="11" t="s">
        <v>8</v>
      </c>
      <c r="B19" s="10">
        <v>24.080000000000002</v>
      </c>
      <c r="C19" s="10">
        <v>20.038</v>
      </c>
      <c r="D19" s="10">
        <v>15.479999999999999</v>
      </c>
      <c r="E19" s="10"/>
    </row>
    <row r="20" spans="1:8" x14ac:dyDescent="0.55000000000000004">
      <c r="A20" s="11" t="s">
        <v>9</v>
      </c>
      <c r="B20" s="10">
        <v>49.000000000000007</v>
      </c>
      <c r="C20" s="10">
        <v>40.775000000000006</v>
      </c>
      <c r="D20" s="10">
        <v>31.5</v>
      </c>
      <c r="E20" s="10"/>
    </row>
    <row r="21" spans="1:8" x14ac:dyDescent="0.55000000000000004">
      <c r="A21" s="11" t="s">
        <v>10</v>
      </c>
      <c r="B21" s="10">
        <v>50.400000000000006</v>
      </c>
      <c r="C21" s="10">
        <v>41.940000000000005</v>
      </c>
      <c r="D21" s="10">
        <v>32.4</v>
      </c>
    </row>
    <row r="22" spans="1:8" x14ac:dyDescent="0.55000000000000004">
      <c r="A22" s="11" t="s">
        <v>11</v>
      </c>
      <c r="B22" s="10">
        <v>35</v>
      </c>
      <c r="C22" s="10">
        <v>29.125</v>
      </c>
      <c r="D22" s="10">
        <v>22.5</v>
      </c>
    </row>
    <row r="25" spans="1:8" x14ac:dyDescent="0.55000000000000004">
      <c r="B25" s="5"/>
      <c r="C25" s="5"/>
      <c r="D25" s="5"/>
      <c r="E25" s="5"/>
      <c r="F25" s="5"/>
      <c r="G25" s="5"/>
      <c r="H25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Normal="100" workbookViewId="0">
      <selection activeCell="G14" sqref="G14"/>
    </sheetView>
  </sheetViews>
  <sheetFormatPr defaultRowHeight="14.4" x14ac:dyDescent="0.55000000000000004"/>
  <cols>
    <col min="2" max="2" width="10.41796875" bestFit="1" customWidth="1"/>
    <col min="3" max="3" width="10.05078125" bestFit="1" customWidth="1"/>
    <col min="4" max="4" width="17.20703125" bestFit="1" customWidth="1"/>
    <col min="5" max="5" width="29.3125" bestFit="1" customWidth="1"/>
    <col min="6" max="6" width="17.5234375" bestFit="1" customWidth="1"/>
    <col min="7" max="7" width="18.89453125" bestFit="1" customWidth="1"/>
    <col min="8" max="8" width="18.578125" bestFit="1" customWidth="1"/>
    <col min="9" max="9" width="19.20703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14</v>
      </c>
      <c r="G1" s="1" t="s">
        <v>17</v>
      </c>
      <c r="H1" s="1" t="s">
        <v>18</v>
      </c>
      <c r="I1" s="1" t="s">
        <v>19</v>
      </c>
    </row>
    <row r="2" spans="1:9" x14ac:dyDescent="0.55000000000000004">
      <c r="A2" s="2" t="s">
        <v>3</v>
      </c>
      <c r="B2" s="2">
        <v>166</v>
      </c>
      <c r="C2" s="2" t="s">
        <v>4</v>
      </c>
      <c r="D2" s="2">
        <v>0.18</v>
      </c>
      <c r="E2" s="2">
        <v>0.23300000000000001</v>
      </c>
      <c r="F2" s="2">
        <v>0.28000000000000003</v>
      </c>
      <c r="G2" s="2">
        <f>B2*D2</f>
        <v>29.88</v>
      </c>
      <c r="H2" s="2">
        <f t="shared" ref="H2:H19" si="0">B2*E2</f>
        <v>38.678000000000004</v>
      </c>
      <c r="I2" s="2">
        <f t="shared" ref="I2:I19" si="1">B2*F2</f>
        <v>46.480000000000004</v>
      </c>
    </row>
    <row r="3" spans="1:9" x14ac:dyDescent="0.55000000000000004">
      <c r="A3" s="2" t="s">
        <v>3</v>
      </c>
      <c r="B3" s="2">
        <v>166</v>
      </c>
      <c r="C3" s="2" t="s">
        <v>5</v>
      </c>
      <c r="D3" s="2">
        <v>0</v>
      </c>
      <c r="E3" s="2">
        <v>0</v>
      </c>
      <c r="F3" s="2">
        <v>0</v>
      </c>
      <c r="G3" s="2">
        <f t="shared" ref="G3:G19" si="2">B3*D3</f>
        <v>0</v>
      </c>
      <c r="H3" s="2">
        <f t="shared" si="0"/>
        <v>0</v>
      </c>
      <c r="I3" s="2">
        <f t="shared" si="1"/>
        <v>0</v>
      </c>
    </row>
    <row r="4" spans="1:9" x14ac:dyDescent="0.55000000000000004">
      <c r="A4" s="2" t="s">
        <v>3</v>
      </c>
      <c r="B4" s="2">
        <v>166</v>
      </c>
      <c r="C4" s="2" t="s">
        <v>6</v>
      </c>
      <c r="D4" s="2">
        <v>0.09</v>
      </c>
      <c r="E4" s="2">
        <v>0.11650000000000001</v>
      </c>
      <c r="F4" s="2">
        <v>0.14000000000000001</v>
      </c>
      <c r="G4" s="2">
        <f t="shared" si="2"/>
        <v>14.94</v>
      </c>
      <c r="H4" s="2">
        <f t="shared" si="0"/>
        <v>19.339000000000002</v>
      </c>
      <c r="I4" s="2">
        <f t="shared" si="1"/>
        <v>23.240000000000002</v>
      </c>
    </row>
    <row r="5" spans="1:9" x14ac:dyDescent="0.55000000000000004">
      <c r="A5" s="3" t="s">
        <v>7</v>
      </c>
      <c r="B5" s="3">
        <v>192</v>
      </c>
      <c r="C5" s="3" t="s">
        <v>4</v>
      </c>
      <c r="D5" s="3">
        <v>0.18</v>
      </c>
      <c r="E5" s="3">
        <v>0.23300000000000001</v>
      </c>
      <c r="F5" s="3">
        <v>0.28000000000000003</v>
      </c>
      <c r="G5" s="3">
        <f t="shared" si="2"/>
        <v>34.56</v>
      </c>
      <c r="H5" s="3">
        <f t="shared" si="0"/>
        <v>44.736000000000004</v>
      </c>
      <c r="I5" s="3">
        <f t="shared" si="1"/>
        <v>53.760000000000005</v>
      </c>
    </row>
    <row r="6" spans="1:9" x14ac:dyDescent="0.55000000000000004">
      <c r="A6" s="3" t="s">
        <v>7</v>
      </c>
      <c r="B6" s="3">
        <v>192</v>
      </c>
      <c r="C6" s="3" t="s">
        <v>5</v>
      </c>
      <c r="D6" s="3">
        <v>0</v>
      </c>
      <c r="E6" s="3">
        <v>0</v>
      </c>
      <c r="F6" s="3">
        <v>0</v>
      </c>
      <c r="G6" s="3">
        <f t="shared" si="2"/>
        <v>0</v>
      </c>
      <c r="H6" s="3">
        <f t="shared" si="0"/>
        <v>0</v>
      </c>
      <c r="I6" s="3">
        <f t="shared" si="1"/>
        <v>0</v>
      </c>
    </row>
    <row r="7" spans="1:9" x14ac:dyDescent="0.55000000000000004">
      <c r="A7" s="3" t="s">
        <v>7</v>
      </c>
      <c r="B7" s="3">
        <v>192</v>
      </c>
      <c r="C7" s="3" t="s">
        <v>6</v>
      </c>
      <c r="D7" s="3">
        <v>0.09</v>
      </c>
      <c r="E7" s="3">
        <v>0.11650000000000001</v>
      </c>
      <c r="F7" s="3">
        <v>0.14000000000000001</v>
      </c>
      <c r="G7" s="3">
        <f t="shared" si="2"/>
        <v>17.28</v>
      </c>
      <c r="H7" s="3">
        <f t="shared" si="0"/>
        <v>22.368000000000002</v>
      </c>
      <c r="I7" s="3">
        <f t="shared" si="1"/>
        <v>26.880000000000003</v>
      </c>
    </row>
    <row r="8" spans="1:9" x14ac:dyDescent="0.55000000000000004">
      <c r="A8" s="4" t="s">
        <v>8</v>
      </c>
      <c r="B8" s="4">
        <v>86</v>
      </c>
      <c r="C8" s="4" t="s">
        <v>4</v>
      </c>
      <c r="D8" s="4">
        <v>0.18</v>
      </c>
      <c r="E8" s="4">
        <v>0.23300000000000001</v>
      </c>
      <c r="F8" s="4">
        <v>0.28000000000000003</v>
      </c>
      <c r="G8" s="4">
        <f t="shared" si="2"/>
        <v>15.479999999999999</v>
      </c>
      <c r="H8" s="4">
        <f t="shared" si="0"/>
        <v>20.038</v>
      </c>
      <c r="I8" s="4">
        <f t="shared" si="1"/>
        <v>24.080000000000002</v>
      </c>
    </row>
    <row r="9" spans="1:9" x14ac:dyDescent="0.55000000000000004">
      <c r="A9" s="4" t="s">
        <v>8</v>
      </c>
      <c r="B9" s="4">
        <v>86</v>
      </c>
      <c r="C9" s="4" t="s">
        <v>5</v>
      </c>
      <c r="D9" s="4">
        <v>0</v>
      </c>
      <c r="E9" s="4">
        <v>0</v>
      </c>
      <c r="F9" s="4">
        <v>0</v>
      </c>
      <c r="G9" s="4">
        <f t="shared" si="2"/>
        <v>0</v>
      </c>
      <c r="H9" s="4">
        <f t="shared" si="0"/>
        <v>0</v>
      </c>
      <c r="I9" s="4">
        <f t="shared" si="1"/>
        <v>0</v>
      </c>
    </row>
    <row r="10" spans="1:9" x14ac:dyDescent="0.55000000000000004">
      <c r="A10" s="4" t="s">
        <v>8</v>
      </c>
      <c r="B10" s="4">
        <v>86</v>
      </c>
      <c r="C10" s="4" t="s">
        <v>6</v>
      </c>
      <c r="D10" s="4">
        <v>0.09</v>
      </c>
      <c r="E10" s="4">
        <v>0.11650000000000001</v>
      </c>
      <c r="F10" s="4">
        <v>0.14000000000000001</v>
      </c>
      <c r="G10" s="4">
        <f t="shared" si="2"/>
        <v>7.7399999999999993</v>
      </c>
      <c r="H10" s="4">
        <f t="shared" si="0"/>
        <v>10.019</v>
      </c>
      <c r="I10" s="4">
        <f t="shared" si="1"/>
        <v>12.040000000000001</v>
      </c>
    </row>
    <row r="11" spans="1:9" x14ac:dyDescent="0.55000000000000004">
      <c r="A11" s="6" t="s">
        <v>9</v>
      </c>
      <c r="B11" s="6">
        <v>175</v>
      </c>
      <c r="C11" s="6" t="s">
        <v>4</v>
      </c>
      <c r="D11" s="6">
        <v>0.18</v>
      </c>
      <c r="E11" s="6">
        <v>0.23300000000000001</v>
      </c>
      <c r="F11" s="6">
        <v>0.28000000000000003</v>
      </c>
      <c r="G11" s="6">
        <f t="shared" si="2"/>
        <v>31.5</v>
      </c>
      <c r="H11" s="6">
        <f t="shared" si="0"/>
        <v>40.775000000000006</v>
      </c>
      <c r="I11" s="6">
        <f t="shared" si="1"/>
        <v>49.000000000000007</v>
      </c>
    </row>
    <row r="12" spans="1:9" x14ac:dyDescent="0.55000000000000004">
      <c r="A12" s="6" t="s">
        <v>9</v>
      </c>
      <c r="B12" s="6">
        <v>175</v>
      </c>
      <c r="C12" s="6" t="s">
        <v>5</v>
      </c>
      <c r="D12" s="6">
        <v>0</v>
      </c>
      <c r="E12" s="6">
        <v>0</v>
      </c>
      <c r="F12" s="6">
        <v>0</v>
      </c>
      <c r="G12" s="6">
        <f t="shared" si="2"/>
        <v>0</v>
      </c>
      <c r="H12" s="6">
        <f t="shared" si="0"/>
        <v>0</v>
      </c>
      <c r="I12" s="6">
        <f t="shared" si="1"/>
        <v>0</v>
      </c>
    </row>
    <row r="13" spans="1:9" x14ac:dyDescent="0.55000000000000004">
      <c r="A13" s="6" t="s">
        <v>9</v>
      </c>
      <c r="B13" s="6">
        <v>175</v>
      </c>
      <c r="C13" s="6" t="s">
        <v>6</v>
      </c>
      <c r="D13" s="6">
        <v>0.09</v>
      </c>
      <c r="E13" s="6">
        <v>0.11650000000000001</v>
      </c>
      <c r="F13" s="6">
        <v>0.14000000000000001</v>
      </c>
      <c r="G13" s="6">
        <f t="shared" si="2"/>
        <v>15.75</v>
      </c>
      <c r="H13" s="6">
        <f t="shared" si="0"/>
        <v>20.387500000000003</v>
      </c>
      <c r="I13" s="6">
        <f t="shared" si="1"/>
        <v>24.500000000000004</v>
      </c>
    </row>
    <row r="14" spans="1:9" x14ac:dyDescent="0.55000000000000004">
      <c r="A14" s="7" t="s">
        <v>10</v>
      </c>
      <c r="B14" s="7">
        <v>180</v>
      </c>
      <c r="C14" s="7" t="s">
        <v>4</v>
      </c>
      <c r="D14" s="7">
        <v>0.18</v>
      </c>
      <c r="E14" s="7">
        <v>0.23300000000000001</v>
      </c>
      <c r="F14" s="7">
        <v>0.28000000000000003</v>
      </c>
      <c r="G14" s="7">
        <f t="shared" si="2"/>
        <v>32.4</v>
      </c>
      <c r="H14" s="7">
        <f t="shared" si="0"/>
        <v>41.940000000000005</v>
      </c>
      <c r="I14" s="7">
        <f t="shared" si="1"/>
        <v>50.400000000000006</v>
      </c>
    </row>
    <row r="15" spans="1:9" x14ac:dyDescent="0.55000000000000004">
      <c r="A15" s="7" t="s">
        <v>10</v>
      </c>
      <c r="B15" s="7">
        <v>180</v>
      </c>
      <c r="C15" s="7" t="s">
        <v>5</v>
      </c>
      <c r="D15" s="7">
        <v>0</v>
      </c>
      <c r="E15" s="7">
        <v>0</v>
      </c>
      <c r="F15" s="7">
        <v>0</v>
      </c>
      <c r="G15" s="7">
        <f t="shared" si="2"/>
        <v>0</v>
      </c>
      <c r="H15" s="7">
        <f t="shared" si="0"/>
        <v>0</v>
      </c>
      <c r="I15" s="7">
        <f t="shared" si="1"/>
        <v>0</v>
      </c>
    </row>
    <row r="16" spans="1:9" x14ac:dyDescent="0.55000000000000004">
      <c r="A16" s="7" t="s">
        <v>10</v>
      </c>
      <c r="B16" s="7">
        <v>180</v>
      </c>
      <c r="C16" s="7" t="s">
        <v>6</v>
      </c>
      <c r="D16" s="7">
        <v>0.09</v>
      </c>
      <c r="E16" s="7">
        <v>0.11650000000000001</v>
      </c>
      <c r="F16" s="7">
        <v>0.14000000000000001</v>
      </c>
      <c r="G16" s="7">
        <f t="shared" si="2"/>
        <v>16.2</v>
      </c>
      <c r="H16" s="7">
        <f t="shared" si="0"/>
        <v>20.970000000000002</v>
      </c>
      <c r="I16" s="7">
        <f t="shared" si="1"/>
        <v>25.200000000000003</v>
      </c>
    </row>
    <row r="17" spans="1:9" x14ac:dyDescent="0.55000000000000004">
      <c r="A17" s="8" t="s">
        <v>11</v>
      </c>
      <c r="B17" s="8">
        <v>125</v>
      </c>
      <c r="C17" s="8" t="s">
        <v>4</v>
      </c>
      <c r="D17" s="8">
        <v>0.18</v>
      </c>
      <c r="E17" s="8">
        <v>0.23300000000000001</v>
      </c>
      <c r="F17" s="8">
        <v>0.28000000000000003</v>
      </c>
      <c r="G17" s="8">
        <f t="shared" si="2"/>
        <v>22.5</v>
      </c>
      <c r="H17" s="8">
        <f t="shared" si="0"/>
        <v>29.125</v>
      </c>
      <c r="I17" s="8">
        <f t="shared" si="1"/>
        <v>35</v>
      </c>
    </row>
    <row r="18" spans="1:9" x14ac:dyDescent="0.55000000000000004">
      <c r="A18" s="8" t="s">
        <v>11</v>
      </c>
      <c r="B18" s="8">
        <v>125</v>
      </c>
      <c r="C18" s="8" t="s">
        <v>5</v>
      </c>
      <c r="D18" s="8">
        <v>0</v>
      </c>
      <c r="E18" s="8">
        <v>0</v>
      </c>
      <c r="F18" s="8">
        <v>0</v>
      </c>
      <c r="G18" s="8">
        <f t="shared" si="2"/>
        <v>0</v>
      </c>
      <c r="H18" s="8">
        <f t="shared" si="0"/>
        <v>0</v>
      </c>
      <c r="I18" s="8">
        <f t="shared" si="1"/>
        <v>0</v>
      </c>
    </row>
    <row r="19" spans="1:9" x14ac:dyDescent="0.55000000000000004">
      <c r="A19" s="8" t="s">
        <v>11</v>
      </c>
      <c r="B19" s="8">
        <v>125</v>
      </c>
      <c r="C19" s="8" t="s">
        <v>6</v>
      </c>
      <c r="D19" s="8">
        <v>0.09</v>
      </c>
      <c r="E19" s="8">
        <v>0.11650000000000001</v>
      </c>
      <c r="F19" s="8">
        <v>0.14000000000000001</v>
      </c>
      <c r="G19" s="8">
        <f t="shared" si="2"/>
        <v>11.25</v>
      </c>
      <c r="H19" s="8">
        <f t="shared" si="0"/>
        <v>14.5625</v>
      </c>
      <c r="I19" s="8">
        <f t="shared" si="1"/>
        <v>17.5</v>
      </c>
    </row>
    <row r="22" spans="1:9" x14ac:dyDescent="0.55000000000000004">
      <c r="A22" s="1"/>
      <c r="B22" s="1"/>
      <c r="C22" s="12"/>
    </row>
    <row r="23" spans="1:9" x14ac:dyDescent="0.55000000000000004">
      <c r="A23" s="5"/>
      <c r="B23" s="5"/>
    </row>
    <row r="24" spans="1:9" x14ac:dyDescent="0.55000000000000004">
      <c r="A24" s="5"/>
      <c r="B24" s="5"/>
    </row>
    <row r="25" spans="1:9" x14ac:dyDescent="0.55000000000000004">
      <c r="A25" s="5"/>
      <c r="B25" s="5"/>
    </row>
    <row r="26" spans="1:9" x14ac:dyDescent="0.55000000000000004">
      <c r="A26" s="5"/>
      <c r="B26" s="5"/>
    </row>
    <row r="27" spans="1:9" x14ac:dyDescent="0.55000000000000004">
      <c r="A27" s="5"/>
      <c r="B27" s="5"/>
    </row>
    <row r="28" spans="1:9" x14ac:dyDescent="0.55000000000000004">
      <c r="A28" s="5"/>
      <c r="B28" s="5"/>
    </row>
    <row r="29" spans="1:9" x14ac:dyDescent="0.55000000000000004">
      <c r="A29" s="5"/>
      <c r="B29" s="5"/>
    </row>
    <row r="30" spans="1:9" x14ac:dyDescent="0.55000000000000004">
      <c r="A30" s="5"/>
      <c r="B30" s="5"/>
    </row>
    <row r="31" spans="1:9" x14ac:dyDescent="0.55000000000000004">
      <c r="A31" s="5"/>
      <c r="B31" s="5"/>
    </row>
    <row r="32" spans="1:9" x14ac:dyDescent="0.55000000000000004">
      <c r="A32" s="5"/>
      <c r="B32" s="5"/>
    </row>
    <row r="33" spans="1:2" x14ac:dyDescent="0.55000000000000004">
      <c r="A33" s="5"/>
      <c r="B33" s="5"/>
    </row>
    <row r="34" spans="1:2" x14ac:dyDescent="0.55000000000000004">
      <c r="A34" s="5"/>
      <c r="B34" s="5"/>
    </row>
    <row r="35" spans="1:2" x14ac:dyDescent="0.55000000000000004">
      <c r="A35" s="5"/>
      <c r="B35" s="5"/>
    </row>
    <row r="36" spans="1:2" x14ac:dyDescent="0.55000000000000004">
      <c r="A36" s="5"/>
      <c r="B36" s="5"/>
    </row>
    <row r="37" spans="1:2" x14ac:dyDescent="0.55000000000000004">
      <c r="A37" s="5"/>
      <c r="B37" s="5"/>
    </row>
    <row r="38" spans="1:2" x14ac:dyDescent="0.55000000000000004">
      <c r="A38" s="5"/>
      <c r="B38" s="5"/>
    </row>
    <row r="39" spans="1:2" x14ac:dyDescent="0.55000000000000004">
      <c r="A39" s="5"/>
      <c r="B39" s="5"/>
    </row>
    <row r="40" spans="1:2" x14ac:dyDescent="0.55000000000000004">
      <c r="A40" s="5"/>
      <c r="B4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2025-10-02T15:23:07Z</dcterms:created>
  <dcterms:modified xsi:type="dcterms:W3CDTF">2025-10-08T13:07:57Z</dcterms:modified>
</cp:coreProperties>
</file>