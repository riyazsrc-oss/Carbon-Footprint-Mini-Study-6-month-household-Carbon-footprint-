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75f26ed73624f9/Documents/"/>
    </mc:Choice>
  </mc:AlternateContent>
  <bookViews>
    <workbookView xWindow="0" yWindow="0" windowWidth="7488" windowHeight="7584" activeTab="3"/>
  </bookViews>
  <sheets>
    <sheet name="Inputs" sheetId="1" r:id="rId1"/>
    <sheet name="Factors" sheetId="2" r:id="rId2"/>
    <sheet name="ScopeMapping" sheetId="3" r:id="rId3"/>
    <sheet name="PivotTable" sheetId="7" r:id="rId4"/>
    <sheet name="Calculations" sheetId="4" r:id="rId5"/>
    <sheet name="Summary" sheetId="5" r:id="rId6"/>
    <sheet name="Instructions" sheetId="6" r:id="rId7"/>
  </sheets>
  <calcPr calcId="162913"/>
  <pivotCaches>
    <pivotCache cacheId="0" r:id="rId8"/>
  </pivotCaches>
</workbook>
</file>

<file path=xl/calcChain.xml><?xml version="1.0" encoding="utf-8"?>
<calcChain xmlns="http://schemas.openxmlformats.org/spreadsheetml/2006/main">
  <c r="O4" i="4" l="1"/>
  <c r="O5" i="4"/>
  <c r="O3" i="4"/>
  <c r="O2" i="4"/>
  <c r="J9" i="4"/>
  <c r="J2" i="4"/>
  <c r="H13" i="4"/>
  <c r="H12" i="4"/>
  <c r="J37" i="4" l="1"/>
  <c r="J30" i="4"/>
  <c r="J23" i="4"/>
  <c r="J16" i="4"/>
  <c r="H38" i="4"/>
  <c r="H39" i="4"/>
  <c r="H40" i="4"/>
  <c r="H41" i="4"/>
  <c r="H42" i="4"/>
  <c r="H43" i="4"/>
  <c r="H37" i="4"/>
  <c r="H31" i="4"/>
  <c r="H32" i="4"/>
  <c r="H33" i="4"/>
  <c r="H34" i="4"/>
  <c r="H35" i="4"/>
  <c r="H36" i="4"/>
  <c r="H30" i="4"/>
  <c r="H24" i="4"/>
  <c r="H25" i="4"/>
  <c r="H26" i="4"/>
  <c r="H27" i="4"/>
  <c r="H28" i="4"/>
  <c r="H29" i="4"/>
  <c r="H23" i="4"/>
  <c r="H17" i="4"/>
  <c r="H18" i="4"/>
  <c r="H19" i="4"/>
  <c r="H20" i="4"/>
  <c r="H21" i="4"/>
  <c r="H22" i="4"/>
  <c r="H16" i="4"/>
  <c r="H10" i="4"/>
  <c r="H11" i="4"/>
  <c r="H14" i="4"/>
  <c r="H15" i="4"/>
  <c r="H9" i="4"/>
  <c r="H8" i="4"/>
  <c r="H3" i="4"/>
  <c r="H4" i="4"/>
  <c r="H5" i="4"/>
  <c r="H6" i="4"/>
  <c r="H7" i="4"/>
  <c r="H2" i="4"/>
</calcChain>
</file>

<file path=xl/sharedStrings.xml><?xml version="1.0" encoding="utf-8"?>
<sst xmlns="http://schemas.openxmlformats.org/spreadsheetml/2006/main" count="596" uniqueCount="73">
  <si>
    <t>Period (YYYY-MM)</t>
  </si>
  <si>
    <t>Category</t>
  </si>
  <si>
    <t>Activity</t>
  </si>
  <si>
    <t>Quantity</t>
  </si>
  <si>
    <t>Unit</t>
  </si>
  <si>
    <t>Notes</t>
  </si>
  <si>
    <t>Electricity</t>
  </si>
  <si>
    <t>Natural Gas</t>
  </si>
  <si>
    <t>Transport - Car</t>
  </si>
  <si>
    <t>Transport - Public</t>
  </si>
  <si>
    <t>Flights</t>
  </si>
  <si>
    <t>Waste</t>
  </si>
  <si>
    <t>Water</t>
  </si>
  <si>
    <t>Grid electricity</t>
  </si>
  <si>
    <t>Boiler heating</t>
  </si>
  <si>
    <t>Rail travel</t>
  </si>
  <si>
    <t>Short-haul flight</t>
  </si>
  <si>
    <t>General waste (landfill)</t>
  </si>
  <si>
    <t>Water supply</t>
  </si>
  <si>
    <t>kWh</t>
  </si>
  <si>
    <t>km</t>
  </si>
  <si>
    <t>kg</t>
  </si>
  <si>
    <t>m3</t>
  </si>
  <si>
    <t>Copy bill kWh</t>
  </si>
  <si>
    <t>Use odometer/app or map</t>
  </si>
  <si>
    <t>Estimate distance</t>
  </si>
  <si>
    <t>One-way km per passenger</t>
  </si>
  <si>
    <t>Weigh/estimate weekly bins</t>
  </si>
  <si>
    <t>From water bill</t>
  </si>
  <si>
    <t>Emission Factor (kg CO2e per unit)</t>
  </si>
  <si>
    <t>Transport - Public (rail)</t>
  </si>
  <si>
    <t>Waste - General (landfill)</t>
  </si>
  <si>
    <t>Waste - Recycling (mixed)</t>
  </si>
  <si>
    <t>Water - Supply</t>
  </si>
  <si>
    <t>Diesel car travel</t>
  </si>
  <si>
    <t>Recycling (mixed)</t>
  </si>
  <si>
    <t>Category (Input)</t>
  </si>
  <si>
    <t>Default Scope</t>
  </si>
  <si>
    <t>Scope 2</t>
  </si>
  <si>
    <t>Scope 1</t>
  </si>
  <si>
    <t>Scope 3</t>
  </si>
  <si>
    <t>Matched Factor Activity</t>
  </si>
  <si>
    <t>Emissions (kg CO2e)</t>
  </si>
  <si>
    <t>Scope</t>
  </si>
  <si>
    <t>Breakdown</t>
  </si>
  <si>
    <t>Value</t>
  </si>
  <si>
    <t>Total Emissions (kg CO2e)</t>
  </si>
  <si>
    <t>Scope 1 (kg)</t>
  </si>
  <si>
    <t>Scope 2 (kg)</t>
  </si>
  <si>
    <t>Scope 3 (kg)</t>
  </si>
  <si>
    <t>Carbon Footprint Mini-Study Template
------------------------------------
1) Fill the 'Inputs' sheet with your monthly activity data. Use consistent units.
   - Electricity/Gas: kWh from bills
   - Car travel: km (estimate with odometer/app)
   - Public transport: km
   - Flights: km per passenger
   - Waste: kg per period (estimate)
   - Water: m3 from bill
2) 'Factors' sheet contains illustrative emission factors. Replace with the latest DEFRA/BEIS factors.
   Ensure units match (e.g., kWh, km, kg, m3).
3) 'ScopeMapping' shows default scopes by category (1, 2, or 3). Adjust if needed.
4) Calculations:
   - You can compute Emissions = Quantity × Emission Factor either in Excel (VLOOKUP/XLOOKUP)
     or by using the provided R script (recommended for reproducibility).
5) Summary:
   - After calculations are populated, sum by Scope and Category for charts and reporting.
Tip: Keep your raw bills/estimates noted in the 'Notes' column for auditability.</t>
  </si>
  <si>
    <t>2025-01</t>
  </si>
  <si>
    <t>2025-02</t>
  </si>
  <si>
    <t>2025-03</t>
  </si>
  <si>
    <t>2025-04</t>
  </si>
  <si>
    <t>2025-05</t>
  </si>
  <si>
    <t>2025-06</t>
  </si>
  <si>
    <t>Transport - Merceded Auto (diesel)</t>
  </si>
  <si>
    <t>Transport - VW Passat auto (diesel)</t>
  </si>
  <si>
    <t>Transport - Public (plane)</t>
  </si>
  <si>
    <t xml:space="preserve">Short Haul flight </t>
  </si>
  <si>
    <t xml:space="preserve">km </t>
  </si>
  <si>
    <t>Total</t>
  </si>
  <si>
    <t>Total (kg CO2e)</t>
  </si>
  <si>
    <t xml:space="preserve">Category </t>
  </si>
  <si>
    <t>Transport - Both Cars Auto (diesel)</t>
  </si>
  <si>
    <t xml:space="preserve">Transport - Personal (car) </t>
  </si>
  <si>
    <t>Row Labels</t>
  </si>
  <si>
    <t>Grand Total</t>
  </si>
  <si>
    <t>Column Labels</t>
  </si>
  <si>
    <t>Sum of Emissions (kg CO2e)</t>
  </si>
  <si>
    <t>Period</t>
  </si>
  <si>
    <r>
      <t>Sum of Emissions (kg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</si>
</sst>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53D5F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 style="thin">
        <color indexed="64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4" fontId="2" fillId="0" borderId="3" xfId="0" applyNumberFormat="1" applyFont="1" applyBorder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2" fillId="0" borderId="4" xfId="0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8" borderId="6" xfId="0" applyFont="1" applyFill="1" applyBorder="1" applyAlignment="1">
      <alignment horizontal="left"/>
    </xf>
    <xf numFmtId="0" fontId="1" fillId="8" borderId="5" xfId="0" applyFont="1" applyFill="1" applyBorder="1"/>
    <xf numFmtId="0" fontId="0" fillId="0" borderId="0" xfId="0" applyNumberFormat="1"/>
    <xf numFmtId="0" fontId="1" fillId="8" borderId="6" xfId="0" applyNumberFormat="1" applyFont="1" applyFill="1" applyBorder="1"/>
    <xf numFmtId="0" fontId="1" fillId="0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26159230096239"/>
          <c:y val="5.0925925925925923E-2"/>
          <c:w val="0.82418285214348208"/>
          <c:h val="0.780540244969378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PivotTable!$D$19</c:f>
              <c:strCache>
                <c:ptCount val="1"/>
                <c:pt idx="0">
                  <c:v>Total (kg CO2e)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PivotTable!$C$20:$C$22</c:f>
              <c:strCache>
                <c:ptCount val="3"/>
                <c:pt idx="1">
                  <c:v>Scope 2</c:v>
                </c:pt>
                <c:pt idx="2">
                  <c:v>Scope 3</c:v>
                </c:pt>
              </c:strCache>
            </c:strRef>
          </c:cat>
          <c:val>
            <c:numRef>
              <c:f>PivotTable!$D$20:$D$22</c:f>
              <c:numCache>
                <c:formatCode>General</c:formatCode>
                <c:ptCount val="3"/>
                <c:pt idx="0">
                  <c:v>4376.0010880000009</c:v>
                </c:pt>
                <c:pt idx="1">
                  <c:v>152.46</c:v>
                </c:pt>
                <c:pt idx="2">
                  <c:v>784.4175580000001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3-48F0-8C90-525EDB881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960224"/>
        <c:axId val="1109960640"/>
      </c:barChart>
      <c:catAx>
        <c:axId val="110996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60640"/>
        <c:crosses val="autoZero"/>
        <c:auto val="1"/>
        <c:lblAlgn val="ctr"/>
        <c:lblOffset val="100"/>
        <c:noMultiLvlLbl val="0"/>
      </c:catAx>
      <c:valAx>
        <c:axId val="110996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Total (kg CO</a:t>
                </a:r>
                <a:r>
                  <a:rPr lang="en-GB" sz="1000" b="0" i="0" u="none" strike="noStrike" baseline="-25000">
                    <a:effectLst/>
                  </a:rPr>
                  <a:t>2</a:t>
                </a:r>
                <a:r>
                  <a:rPr lang="en-GB" sz="1000" b="0" i="0" u="none" strike="noStrike" baseline="0">
                    <a:effectLst/>
                  </a:rPr>
                  <a:t>e)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0864045805526575E-2"/>
              <c:y val="0.3302244814334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6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337593670356426"/>
          <c:y val="0.18101505976986673"/>
          <c:w val="0.3398181749020503"/>
          <c:h val="0.68660161223196559"/>
        </c:manualLayout>
      </c:layout>
      <c:pieChart>
        <c:varyColors val="1"/>
        <c:ser>
          <c:idx val="0"/>
          <c:order val="0"/>
          <c:tx>
            <c:strRef>
              <c:f>PivotTable!$B$26</c:f>
              <c:strCache>
                <c:ptCount val="1"/>
                <c:pt idx="0">
                  <c:v>Total (kg CO2e)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05-414C-B972-1A88BC0D13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05-414C-B972-1A88BC0D13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05-414C-B972-1A88BC0D1347}"/>
              </c:ext>
            </c:extLst>
          </c:dPt>
          <c:dPt>
            <c:idx val="3"/>
            <c:bubble3D val="0"/>
            <c:explosion val="1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3B-40F4-B600-0F5F3CFABC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05-414C-B972-1A88BC0D13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405-414C-B972-1A88BC0D13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405-414C-B972-1A88BC0D1347}"/>
              </c:ext>
            </c:extLst>
          </c:dPt>
          <c:cat>
            <c:strRef>
              <c:f>PivotTable!$A$27:$A$33</c:f>
              <c:strCache>
                <c:ptCount val="7"/>
                <c:pt idx="0">
                  <c:v>Electricity</c:v>
                </c:pt>
                <c:pt idx="1">
                  <c:v>Flights</c:v>
                </c:pt>
                <c:pt idx="2">
                  <c:v>Natural Gas</c:v>
                </c:pt>
                <c:pt idx="3">
                  <c:v>Transport - Car</c:v>
                </c:pt>
                <c:pt idx="4">
                  <c:v>Transport - Public</c:v>
                </c:pt>
                <c:pt idx="5">
                  <c:v>Waste</c:v>
                </c:pt>
                <c:pt idx="6">
                  <c:v>Water</c:v>
                </c:pt>
              </c:strCache>
            </c:strRef>
          </c:cat>
          <c:val>
            <c:numRef>
              <c:f>PivotTable!$B$27:$B$33</c:f>
              <c:numCache>
                <c:formatCode>General</c:formatCode>
                <c:ptCount val="7"/>
                <c:pt idx="0">
                  <c:v>152.46</c:v>
                </c:pt>
                <c:pt idx="1">
                  <c:v>0</c:v>
                </c:pt>
                <c:pt idx="2">
                  <c:v>590.82399999999996</c:v>
                </c:pt>
                <c:pt idx="3">
                  <c:v>3785.1770879999995</c:v>
                </c:pt>
                <c:pt idx="4">
                  <c:v>100</c:v>
                </c:pt>
                <c:pt idx="5">
                  <c:v>672.48000000000013</c:v>
                </c:pt>
                <c:pt idx="6">
                  <c:v>5.7875579999999998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B-40F4-B600-0F5F3CFA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5.0595047096126415E-3"/>
          <c:w val="0.24621248430902665"/>
          <c:h val="0.98830695660761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03937007874018"/>
          <c:y val="5.5555555555555552E-2"/>
          <c:w val="0.85396062992125987"/>
          <c:h val="0.7712809857101196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PivotTable!$L$5:$L$10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xVal>
          <c:yVal>
            <c:numRef>
              <c:f>PivotTable!$M$5:$M$10</c:f>
              <c:numCache>
                <c:formatCode>General</c:formatCode>
                <c:ptCount val="6"/>
                <c:pt idx="0">
                  <c:v>927.69744100000003</c:v>
                </c:pt>
                <c:pt idx="1">
                  <c:v>990.025441</c:v>
                </c:pt>
                <c:pt idx="2">
                  <c:v>874.1654410000001</c:v>
                </c:pt>
                <c:pt idx="3">
                  <c:v>851.70644100000004</c:v>
                </c:pt>
                <c:pt idx="4">
                  <c:v>828.62344100000007</c:v>
                </c:pt>
                <c:pt idx="5">
                  <c:v>840.66044100000011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1-43E2-B4F9-1CBA29301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163968"/>
        <c:axId val="1110161472"/>
      </c:scatterChart>
      <c:valAx>
        <c:axId val="111016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813390201224847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61472"/>
        <c:crosses val="autoZero"/>
        <c:crossBetween val="midCat"/>
      </c:valAx>
      <c:valAx>
        <c:axId val="1110161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um of Emissions (kg CO2e)</a:t>
                </a:r>
              </a:p>
            </c:rich>
          </c:tx>
          <c:layout>
            <c:manualLayout>
              <c:xMode val="edge"/>
              <c:yMode val="edge"/>
              <c:x val="0"/>
              <c:y val="0.2012886410032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6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PivotTable!$G$38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PivotTable!$F$39:$F$44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PivotTable!$G$39:$G$44</c:f>
              <c:numCache>
                <c:formatCode>General</c:formatCode>
                <c:ptCount val="6"/>
                <c:pt idx="0">
                  <c:v>27.39</c:v>
                </c:pt>
                <c:pt idx="1">
                  <c:v>31.68</c:v>
                </c:pt>
                <c:pt idx="2">
                  <c:v>14.190000000000001</c:v>
                </c:pt>
                <c:pt idx="3">
                  <c:v>28.875</c:v>
                </c:pt>
                <c:pt idx="4">
                  <c:v>29.700000000000003</c:v>
                </c:pt>
                <c:pt idx="5">
                  <c:v>20.625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A-4F83-A68F-198BB503D7EF}"/>
            </c:ext>
          </c:extLst>
        </c:ser>
        <c:ser>
          <c:idx val="1"/>
          <c:order val="1"/>
          <c:tx>
            <c:strRef>
              <c:f>PivotTable!$H$38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PivotTable!$F$39:$F$44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PivotTable!$H$39:$H$44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4AFA-4F83-A68F-198BB503D7EF}"/>
            </c:ext>
          </c:extLst>
        </c:ser>
        <c:ser>
          <c:idx val="2"/>
          <c:order val="2"/>
          <c:tx>
            <c:strRef>
              <c:f>PivotTable!$I$38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PivotTable!$F$39:$F$44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PivotTable!$I$39:$I$44</c:f>
              <c:numCache>
                <c:formatCode>General</c:formatCode>
                <c:ptCount val="6"/>
                <c:pt idx="0">
                  <c:v>156.4</c:v>
                </c:pt>
                <c:pt idx="1">
                  <c:v>208.28799999999998</c:v>
                </c:pt>
                <c:pt idx="2">
                  <c:v>78.567999999999998</c:v>
                </c:pt>
                <c:pt idx="3">
                  <c:v>66.423999999999992</c:v>
                </c:pt>
                <c:pt idx="4">
                  <c:v>55.015999999999998</c:v>
                </c:pt>
                <c:pt idx="5">
                  <c:v>26.128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A-4F83-A68F-198BB503D7EF}"/>
            </c:ext>
          </c:extLst>
        </c:ser>
        <c:ser>
          <c:idx val="3"/>
          <c:order val="3"/>
          <c:tx>
            <c:strRef>
              <c:f>PivotTable!$J$38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PivotTable!$F$39:$F$44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PivotTable!$J$39:$J$44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4AFA-4F83-A68F-198BB503D7EF}"/>
            </c:ext>
          </c:extLst>
        </c:ser>
        <c:ser>
          <c:idx val="4"/>
          <c:order val="4"/>
          <c:tx>
            <c:strRef>
              <c:f>PivotTable!$K$38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PivotTable!$F$39:$F$44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PivotTable!$K$39:$K$44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4AFA-4F83-A68F-198BB503D7EF}"/>
            </c:ext>
          </c:extLst>
        </c:ser>
        <c:ser>
          <c:idx val="5"/>
          <c:order val="5"/>
          <c:tx>
            <c:strRef>
              <c:f>PivotTable!$L$38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PivotTable!$F$39:$F$44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PivotTable!$L$39:$L$44</c:f>
              <c:numCache>
                <c:formatCode>General</c:formatCode>
                <c:ptCount val="6"/>
                <c:pt idx="0">
                  <c:v>112.08000000000001</c:v>
                </c:pt>
                <c:pt idx="1">
                  <c:v>112.08000000000001</c:v>
                </c:pt>
                <c:pt idx="2">
                  <c:v>112.08000000000001</c:v>
                </c:pt>
                <c:pt idx="3">
                  <c:v>112.08000000000001</c:v>
                </c:pt>
                <c:pt idx="4">
                  <c:v>112.08000000000001</c:v>
                </c:pt>
                <c:pt idx="5">
                  <c:v>112.08000000000001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FA-4F83-A68F-198BB503D7EF}"/>
            </c:ext>
          </c:extLst>
        </c:ser>
        <c:ser>
          <c:idx val="6"/>
          <c:order val="6"/>
          <c:tx>
            <c:strRef>
              <c:f>PivotTable!$M$38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PivotTable!$F$39:$F$44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PivotTable!$M$39:$M$44</c:f>
              <c:numCache>
                <c:formatCode>General</c:formatCode>
                <c:ptCount val="6"/>
                <c:pt idx="0">
                  <c:v>0.96459299999999992</c:v>
                </c:pt>
                <c:pt idx="1">
                  <c:v>0.96459299999999992</c:v>
                </c:pt>
                <c:pt idx="2">
                  <c:v>0.96459299999999992</c:v>
                </c:pt>
                <c:pt idx="3">
                  <c:v>0.96459299999999992</c:v>
                </c:pt>
                <c:pt idx="4">
                  <c:v>0.96459299999999992</c:v>
                </c:pt>
                <c:pt idx="5">
                  <c:v>0.96459299999999992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FA-4F83-A68F-198BB503D7EF}"/>
            </c:ext>
          </c:extLst>
        </c:ser>
        <c:ser>
          <c:idx val="7"/>
          <c:order val="7"/>
          <c:tx>
            <c:strRef>
              <c:f>PivotTable!$N$38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PivotTable!$F$39:$F$44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PivotTable!$N$39:$N$44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4AFA-4F83-A68F-198BB503D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412784"/>
        <c:axId val="1676397808"/>
      </c:barChart>
      <c:catAx>
        <c:axId val="167641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97808"/>
        <c:crosses val="autoZero"/>
        <c:auto val="1"/>
        <c:lblAlgn val="ctr"/>
        <c:lblOffset val="100"/>
        <c:noMultiLvlLbl val="0"/>
      </c:catAx>
      <c:valAx>
        <c:axId val="16763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Emissions (kg CO2e)</a:t>
                </a:r>
              </a:p>
            </c:rich>
          </c:tx>
          <c:layout>
            <c:manualLayout>
              <c:xMode val="edge"/>
              <c:yMode val="edge"/>
              <c:x val="1.8073844564936742E-2"/>
              <c:y val="0.28526410237059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14</xdr:row>
      <xdr:rowOff>93345</xdr:rowOff>
    </xdr:from>
    <xdr:to>
      <xdr:col>10</xdr:col>
      <xdr:colOff>487680</xdr:colOff>
      <xdr:row>26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80010</xdr:colOff>
      <xdr:row>33</xdr:row>
      <xdr:rowOff>156209</xdr:rowOff>
    </xdr:from>
    <xdr:to>
      <xdr:col>4</xdr:col>
      <xdr:colOff>438150</xdr:colOff>
      <xdr:row>48</xdr:row>
      <xdr:rowOff>15240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521970</xdr:colOff>
      <xdr:row>10</xdr:row>
      <xdr:rowOff>173355</xdr:rowOff>
    </xdr:from>
    <xdr:to>
      <xdr:col>16</xdr:col>
      <xdr:colOff>285750</xdr:colOff>
      <xdr:row>25</xdr:row>
      <xdr:rowOff>173355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192405</xdr:colOff>
      <xdr:row>25</xdr:row>
      <xdr:rowOff>21907</xdr:rowOff>
    </xdr:from>
    <xdr:to>
      <xdr:col>21</xdr:col>
      <xdr:colOff>257175</xdr:colOff>
      <xdr:row>41</xdr:row>
      <xdr:rowOff>77152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yaz" refreshedDate="45927.661466550926" createdVersion="6" refreshedVersion="6" minRefreshableVersion="3" recordCount="42">
  <cacheSource type="worksheet">
    <worksheetSource ref="A1:J43" sheet="Calculations"/>
  </cacheSource>
  <cacheFields count="10">
    <cacheField name="Period (YYYY-MM)" numFmtId="0">
      <sharedItems count="6">
        <s v="2025-01"/>
        <s v="2025-02"/>
        <s v="2025-03"/>
        <s v="2025-04"/>
        <s v="2025-05"/>
        <s v="2025-06"/>
      </sharedItems>
    </cacheField>
    <cacheField name="Category" numFmtId="0">
      <sharedItems count="7">
        <s v="Electricity"/>
        <s v="Natural Gas"/>
        <s v="Transport - Car"/>
        <s v="Transport - Public"/>
        <s v="Flights"/>
        <s v="Waste"/>
        <s v="Water"/>
      </sharedItems>
    </cacheField>
    <cacheField name="Activity" numFmtId="0">
      <sharedItems/>
    </cacheField>
    <cacheField name="Quantity" numFmtId="0">
      <sharedItems containsSemiMixedTypes="0" containsString="0" containsNumber="1" minValue="0" maxValue="5632.7039999999997"/>
    </cacheField>
    <cacheField name="Unit" numFmtId="0">
      <sharedItems/>
    </cacheField>
    <cacheField name="Matched Factor Activity" numFmtId="0">
      <sharedItems/>
    </cacheField>
    <cacheField name="Emission Factor (kg CO2e per unit)" numFmtId="0">
      <sharedItems containsSemiMixedTypes="0" containsString="0" containsNumber="1" minValue="4.1000000000000002E-2" maxValue="0.46700000000000003"/>
    </cacheField>
    <cacheField name="Emissions (kg CO2e)" numFmtId="0">
      <sharedItems containsSemiMixedTypes="0" containsString="0" containsNumber="1" minValue="0" maxValue="630.86284799999999"/>
    </cacheField>
    <cacheField name="Scope" numFmtId="0">
      <sharedItems count="3">
        <s v="Scope 2"/>
        <s v="Scope 1"/>
        <s v="Scope 3"/>
      </sharedItems>
    </cacheField>
    <cacheField name="Total Emissions (kg CO2e)" numFmtId="0">
      <sharedItems containsString="0" containsBlank="1" containsNumber="1" minValue="828.62344100000007" maxValue="990.0254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x v="0"/>
    <x v="0"/>
    <s v="Electricity"/>
    <n v="166"/>
    <s v="kWh"/>
    <s v="Grid electricity"/>
    <n v="0.16500000000000001"/>
    <n v="27.39"/>
    <x v="0"/>
    <n v="927.69744100000003"/>
  </r>
  <r>
    <x v="0"/>
    <x v="1"/>
    <s v="Natural Gas"/>
    <n v="850"/>
    <s v="kWh"/>
    <s v="Boiler heating"/>
    <n v="0.184"/>
    <n v="156.4"/>
    <x v="1"/>
    <m/>
  </r>
  <r>
    <x v="0"/>
    <x v="2"/>
    <s v="Transport - Both Cars Auto (diesel)"/>
    <n v="5632.7039999999997"/>
    <s v="km"/>
    <s v="Diesel car travel"/>
    <n v="0.112"/>
    <n v="630.86284799999999"/>
    <x v="1"/>
    <m/>
  </r>
  <r>
    <x v="0"/>
    <x v="3"/>
    <s v="Transport - Public (rail)"/>
    <n v="0"/>
    <s v="km"/>
    <s v="Rail travel"/>
    <n v="0.125"/>
    <n v="0"/>
    <x v="2"/>
    <m/>
  </r>
  <r>
    <x v="0"/>
    <x v="4"/>
    <s v="Transport - Public (plane)"/>
    <n v="0"/>
    <s v="km"/>
    <s v="Short-haul flight"/>
    <n v="4.1000000000000002E-2"/>
    <n v="0"/>
    <x v="2"/>
    <m/>
  </r>
  <r>
    <x v="0"/>
    <x v="5"/>
    <s v="Waste - General (landfill)"/>
    <n v="240"/>
    <s v="kg"/>
    <s v="General waste (landfill)"/>
    <n v="0.46700000000000003"/>
    <n v="112.08000000000001"/>
    <x v="2"/>
    <m/>
  </r>
  <r>
    <x v="0"/>
    <x v="6"/>
    <s v="Water - Supply"/>
    <n v="6.3"/>
    <s v="m3"/>
    <s v="Water supply"/>
    <n v="0.15311"/>
    <n v="0.96459299999999992"/>
    <x v="2"/>
    <m/>
  </r>
  <r>
    <x v="1"/>
    <x v="0"/>
    <s v="Electricity"/>
    <n v="192"/>
    <s v="kWh"/>
    <s v="Grid electricity"/>
    <n v="0.16500000000000001"/>
    <n v="31.68"/>
    <x v="0"/>
    <n v="990.025441"/>
  </r>
  <r>
    <x v="1"/>
    <x v="1"/>
    <s v="Natural Gas"/>
    <n v="1132"/>
    <s v="kWh"/>
    <s v="Boiler heating"/>
    <n v="0.184"/>
    <n v="208.28799999999998"/>
    <x v="1"/>
    <m/>
  </r>
  <r>
    <x v="1"/>
    <x v="2"/>
    <s v="Transport - Merceded Auto (diesel)"/>
    <n v="5632.7039999999997"/>
    <s v="km"/>
    <s v="Diesel car travel"/>
    <n v="0.112"/>
    <n v="630.86284799999999"/>
    <x v="1"/>
    <m/>
  </r>
  <r>
    <x v="1"/>
    <x v="3"/>
    <s v="Transport - Public (rail)"/>
    <n v="0"/>
    <s v="km"/>
    <s v="Rail travel"/>
    <n v="0.125"/>
    <n v="0"/>
    <x v="2"/>
    <m/>
  </r>
  <r>
    <x v="1"/>
    <x v="4"/>
    <s v="Transport - Public (plane)"/>
    <n v="150"/>
    <s v="km"/>
    <s v="Short-haul flight"/>
    <n v="4.1000000000000002E-2"/>
    <n v="6.15"/>
    <x v="2"/>
    <m/>
  </r>
  <r>
    <x v="1"/>
    <x v="5"/>
    <s v="Waste - General (landfill)"/>
    <n v="240"/>
    <s v="kg"/>
    <s v="General waste (landfill)"/>
    <n v="0.46700000000000003"/>
    <n v="112.08000000000001"/>
    <x v="2"/>
    <m/>
  </r>
  <r>
    <x v="1"/>
    <x v="6"/>
    <s v="Water - Supply"/>
    <n v="6.3"/>
    <s v="m3"/>
    <s v="Water supply"/>
    <n v="0.15311"/>
    <n v="0.96459299999999992"/>
    <x v="2"/>
    <m/>
  </r>
  <r>
    <x v="2"/>
    <x v="0"/>
    <s v="Electricity"/>
    <n v="86"/>
    <s v="kWh"/>
    <s v="Grid electricity"/>
    <n v="0.16500000000000001"/>
    <n v="14.190000000000001"/>
    <x v="0"/>
    <n v="874.1654410000001"/>
  </r>
  <r>
    <x v="2"/>
    <x v="1"/>
    <s v="Natural Gas"/>
    <n v="427"/>
    <s v="kWh"/>
    <s v="Boiler heating"/>
    <n v="0.184"/>
    <n v="78.567999999999998"/>
    <x v="1"/>
    <m/>
  </r>
  <r>
    <x v="2"/>
    <x v="2"/>
    <s v="Transport - Merceded Auto (diesel)"/>
    <n v="5632.7039999999997"/>
    <s v="km"/>
    <s v="Diesel car travel"/>
    <n v="0.112"/>
    <n v="630.86284799999999"/>
    <x v="1"/>
    <m/>
  </r>
  <r>
    <x v="2"/>
    <x v="3"/>
    <s v="Transport - Public (rail)"/>
    <n v="300"/>
    <s v="km"/>
    <s v="Rail travel"/>
    <n v="0.125"/>
    <n v="37.5"/>
    <x v="2"/>
    <m/>
  </r>
  <r>
    <x v="2"/>
    <x v="4"/>
    <s v="Transport - Public (plane)"/>
    <n v="0"/>
    <s v="km"/>
    <s v="Short-haul flight"/>
    <n v="4.1000000000000002E-2"/>
    <n v="0"/>
    <x v="2"/>
    <m/>
  </r>
  <r>
    <x v="2"/>
    <x v="5"/>
    <s v="Waste - General (landfill)"/>
    <n v="240"/>
    <s v="kg"/>
    <s v="General waste (landfill)"/>
    <n v="0.46700000000000003"/>
    <n v="112.08000000000001"/>
    <x v="2"/>
    <m/>
  </r>
  <r>
    <x v="2"/>
    <x v="6"/>
    <s v="Water - Supply"/>
    <n v="6.3"/>
    <s v="m3"/>
    <s v="Water supply"/>
    <n v="0.15311"/>
    <n v="0.96459299999999992"/>
    <x v="2"/>
    <m/>
  </r>
  <r>
    <x v="3"/>
    <x v="0"/>
    <s v="Electricity"/>
    <n v="175"/>
    <s v="kWh"/>
    <s v="Grid electricity"/>
    <n v="0.16500000000000001"/>
    <n v="28.875"/>
    <x v="0"/>
    <n v="851.70644100000004"/>
  </r>
  <r>
    <x v="3"/>
    <x v="1"/>
    <s v="Natural Gas"/>
    <n v="361"/>
    <s v="kWh"/>
    <s v="Boiler heating"/>
    <n v="0.184"/>
    <n v="66.423999999999992"/>
    <x v="1"/>
    <m/>
  </r>
  <r>
    <x v="3"/>
    <x v="2"/>
    <s v="Transport - Merceded Auto (diesel)"/>
    <n v="5632.7039999999997"/>
    <s v="km"/>
    <s v="Diesel car travel"/>
    <n v="0.112"/>
    <n v="630.86284799999999"/>
    <x v="1"/>
    <m/>
  </r>
  <r>
    <x v="3"/>
    <x v="3"/>
    <s v="Transport - Public (rail)"/>
    <n v="100"/>
    <s v="km"/>
    <s v="Rail travel"/>
    <n v="0.125"/>
    <n v="12.5"/>
    <x v="2"/>
    <m/>
  </r>
  <r>
    <x v="3"/>
    <x v="4"/>
    <s v="Transport - Public (plane)"/>
    <n v="0"/>
    <s v="km"/>
    <s v="Short-haul flight"/>
    <n v="4.1000000000000002E-2"/>
    <n v="0"/>
    <x v="2"/>
    <m/>
  </r>
  <r>
    <x v="3"/>
    <x v="5"/>
    <s v="Waste - General (landfill)"/>
    <n v="240"/>
    <s v="kg"/>
    <s v="General waste (landfill)"/>
    <n v="0.46700000000000003"/>
    <n v="112.08000000000001"/>
    <x v="2"/>
    <m/>
  </r>
  <r>
    <x v="3"/>
    <x v="6"/>
    <s v="Water - Supply"/>
    <n v="6.3"/>
    <s v="m3"/>
    <s v="Water supply"/>
    <n v="0.15311"/>
    <n v="0.96459299999999992"/>
    <x v="2"/>
    <m/>
  </r>
  <r>
    <x v="4"/>
    <x v="0"/>
    <s v="Electricity"/>
    <n v="180"/>
    <s v="kWh"/>
    <s v="Grid electricity"/>
    <n v="0.16500000000000001"/>
    <n v="29.700000000000003"/>
    <x v="0"/>
    <n v="828.62344100000007"/>
  </r>
  <r>
    <x v="4"/>
    <x v="1"/>
    <s v="Natural Gas"/>
    <n v="299"/>
    <s v="kWh"/>
    <s v="Boiler heating"/>
    <n v="0.184"/>
    <n v="55.015999999999998"/>
    <x v="1"/>
    <m/>
  </r>
  <r>
    <x v="4"/>
    <x v="2"/>
    <s v="Transport - Merceded Auto (diesel)"/>
    <n v="5632.7039999999997"/>
    <s v="km"/>
    <s v="Diesel car travel"/>
    <n v="0.112"/>
    <n v="630.86284799999999"/>
    <x v="1"/>
    <m/>
  </r>
  <r>
    <x v="4"/>
    <x v="3"/>
    <s v="Transport - Public (rail)"/>
    <n v="0"/>
    <s v="km"/>
    <s v="Rail travel"/>
    <n v="0.125"/>
    <n v="0"/>
    <x v="2"/>
    <m/>
  </r>
  <r>
    <x v="4"/>
    <x v="4"/>
    <s v="Transport - Public (plane)"/>
    <n v="0"/>
    <s v="km"/>
    <s v="Short-haul flight"/>
    <n v="4.1000000000000002E-2"/>
    <n v="0"/>
    <x v="2"/>
    <m/>
  </r>
  <r>
    <x v="4"/>
    <x v="5"/>
    <s v="Waste - General (landfill)"/>
    <n v="240"/>
    <s v="kg"/>
    <s v="General waste (landfill)"/>
    <n v="0.46700000000000003"/>
    <n v="112.08000000000001"/>
    <x v="2"/>
    <m/>
  </r>
  <r>
    <x v="4"/>
    <x v="6"/>
    <s v="Water - Supply"/>
    <n v="6.3"/>
    <s v="m3"/>
    <s v="Water supply"/>
    <n v="0.15311"/>
    <n v="0.96459299999999992"/>
    <x v="2"/>
    <m/>
  </r>
  <r>
    <x v="5"/>
    <x v="0"/>
    <s v="Electricity"/>
    <n v="125"/>
    <s v="kWh"/>
    <s v="Grid electricity"/>
    <n v="0.16500000000000001"/>
    <n v="20.625"/>
    <x v="0"/>
    <n v="840.66044100000011"/>
  </r>
  <r>
    <x v="5"/>
    <x v="1"/>
    <s v="Natural Gas"/>
    <n v="142"/>
    <s v="kWh"/>
    <s v="Boiler heating"/>
    <n v="0.184"/>
    <n v="26.128"/>
    <x v="1"/>
    <m/>
  </r>
  <r>
    <x v="5"/>
    <x v="2"/>
    <s v="Transport - Merceded Auto (diesel)"/>
    <n v="5632.7039999999997"/>
    <s v="km"/>
    <s v="Diesel car travel"/>
    <n v="0.112"/>
    <n v="630.86284799999999"/>
    <x v="1"/>
    <m/>
  </r>
  <r>
    <x v="5"/>
    <x v="3"/>
    <s v="Transport - Public (rail)"/>
    <n v="400"/>
    <s v="km"/>
    <s v="Rail travel"/>
    <n v="0.125"/>
    <n v="50"/>
    <x v="2"/>
    <m/>
  </r>
  <r>
    <x v="5"/>
    <x v="4"/>
    <s v="Transport - Public (plane)"/>
    <n v="0"/>
    <s v="km"/>
    <s v="Short-haul flight"/>
    <n v="4.1000000000000002E-2"/>
    <n v="0"/>
    <x v="2"/>
    <m/>
  </r>
  <r>
    <x v="5"/>
    <x v="5"/>
    <s v="Waste - General (landfill)"/>
    <n v="240"/>
    <s v="kg"/>
    <s v="General waste (landfill)"/>
    <n v="0.46700000000000003"/>
    <n v="112.08000000000001"/>
    <x v="2"/>
    <m/>
  </r>
  <r>
    <x v="5"/>
    <x v="6"/>
    <s v="Water - Supply"/>
    <n v="6.3"/>
    <s v="m3"/>
    <s v="Water supply"/>
    <n v="0.15311"/>
    <n v="0.9645929999999999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12" firstHeaderRow="1" firstDataRow="2" firstDataCol="1"/>
  <pivotFields count="10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0"/>
        <item x="4"/>
        <item x="1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missions (kg CO2e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F17" sqref="F17"/>
    </sheetView>
  </sheetViews>
  <sheetFormatPr defaultRowHeight="14.4" x14ac:dyDescent="0.55000000000000004"/>
  <cols>
    <col min="1" max="1" width="15.68359375" bestFit="1" customWidth="1"/>
    <col min="2" max="2" width="14.5234375" bestFit="1" customWidth="1"/>
    <col min="3" max="3" width="18.7890625" bestFit="1" customWidth="1"/>
    <col min="4" max="4" width="8.68359375" bestFit="1" customWidth="1"/>
    <col min="5" max="5" width="4.3125" bestFit="1" customWidth="1"/>
    <col min="6" max="6" width="22.8945312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4" t="s">
        <v>51</v>
      </c>
      <c r="B2" s="4" t="s">
        <v>6</v>
      </c>
      <c r="C2" s="4" t="s">
        <v>13</v>
      </c>
      <c r="D2" s="4">
        <v>166</v>
      </c>
      <c r="E2" s="4" t="s">
        <v>19</v>
      </c>
      <c r="F2" s="4" t="s">
        <v>23</v>
      </c>
    </row>
    <row r="3" spans="1:6" x14ac:dyDescent="0.55000000000000004">
      <c r="A3" s="4" t="s">
        <v>51</v>
      </c>
      <c r="B3" s="4" t="s">
        <v>7</v>
      </c>
      <c r="C3" s="4" t="s">
        <v>14</v>
      </c>
      <c r="D3" s="4">
        <v>850</v>
      </c>
      <c r="E3" s="4" t="s">
        <v>19</v>
      </c>
      <c r="F3" s="4" t="s">
        <v>23</v>
      </c>
    </row>
    <row r="4" spans="1:6" x14ac:dyDescent="0.55000000000000004">
      <c r="A4" s="4" t="s">
        <v>51</v>
      </c>
      <c r="B4" s="4" t="s">
        <v>8</v>
      </c>
      <c r="C4" s="4" t="s">
        <v>34</v>
      </c>
      <c r="D4" s="4">
        <v>5632.7039999999997</v>
      </c>
      <c r="E4" s="4" t="s">
        <v>20</v>
      </c>
      <c r="F4" s="4" t="s">
        <v>24</v>
      </c>
    </row>
    <row r="5" spans="1:6" x14ac:dyDescent="0.55000000000000004">
      <c r="A5" s="4" t="s">
        <v>51</v>
      </c>
      <c r="B5" s="4" t="s">
        <v>9</v>
      </c>
      <c r="C5" s="4" t="s">
        <v>15</v>
      </c>
      <c r="D5" s="4">
        <v>0</v>
      </c>
      <c r="E5" s="4" t="s">
        <v>20</v>
      </c>
      <c r="F5" s="4" t="s">
        <v>25</v>
      </c>
    </row>
    <row r="6" spans="1:6" x14ac:dyDescent="0.55000000000000004">
      <c r="A6" s="4" t="s">
        <v>51</v>
      </c>
      <c r="B6" s="4" t="s">
        <v>10</v>
      </c>
      <c r="C6" s="4" t="s">
        <v>16</v>
      </c>
      <c r="D6" s="4">
        <v>0</v>
      </c>
      <c r="E6" s="4" t="s">
        <v>20</v>
      </c>
      <c r="F6" s="4" t="s">
        <v>26</v>
      </c>
    </row>
    <row r="7" spans="1:6" x14ac:dyDescent="0.55000000000000004">
      <c r="A7" s="4" t="s">
        <v>51</v>
      </c>
      <c r="B7" s="4" t="s">
        <v>11</v>
      </c>
      <c r="C7" s="4" t="s">
        <v>17</v>
      </c>
      <c r="D7" s="4">
        <v>240</v>
      </c>
      <c r="E7" s="4" t="s">
        <v>21</v>
      </c>
      <c r="F7" s="4" t="s">
        <v>27</v>
      </c>
    </row>
    <row r="8" spans="1:6" x14ac:dyDescent="0.55000000000000004">
      <c r="A8" s="4" t="s">
        <v>51</v>
      </c>
      <c r="B8" s="4" t="s">
        <v>12</v>
      </c>
      <c r="C8" s="4" t="s">
        <v>18</v>
      </c>
      <c r="D8" s="4">
        <v>6.3</v>
      </c>
      <c r="E8" s="4" t="s">
        <v>22</v>
      </c>
      <c r="F8" s="4" t="s">
        <v>28</v>
      </c>
    </row>
    <row r="9" spans="1:6" x14ac:dyDescent="0.55000000000000004">
      <c r="A9" s="5" t="s">
        <v>52</v>
      </c>
      <c r="B9" s="5" t="s">
        <v>6</v>
      </c>
      <c r="C9" s="5" t="s">
        <v>13</v>
      </c>
      <c r="D9" s="5">
        <v>192</v>
      </c>
      <c r="E9" s="5" t="s">
        <v>19</v>
      </c>
      <c r="F9" s="5" t="s">
        <v>23</v>
      </c>
    </row>
    <row r="10" spans="1:6" x14ac:dyDescent="0.55000000000000004">
      <c r="A10" s="5" t="s">
        <v>52</v>
      </c>
      <c r="B10" s="5" t="s">
        <v>7</v>
      </c>
      <c r="C10" s="5" t="s">
        <v>14</v>
      </c>
      <c r="D10" s="5">
        <v>1132</v>
      </c>
      <c r="E10" s="5" t="s">
        <v>19</v>
      </c>
      <c r="F10" s="5" t="s">
        <v>23</v>
      </c>
    </row>
    <row r="11" spans="1:6" x14ac:dyDescent="0.55000000000000004">
      <c r="A11" s="5" t="s">
        <v>52</v>
      </c>
      <c r="B11" s="5" t="s">
        <v>8</v>
      </c>
      <c r="C11" s="5" t="s">
        <v>34</v>
      </c>
      <c r="D11" s="5">
        <v>5632.7039999999997</v>
      </c>
      <c r="E11" s="5" t="s">
        <v>20</v>
      </c>
      <c r="F11" s="5" t="s">
        <v>24</v>
      </c>
    </row>
    <row r="12" spans="1:6" x14ac:dyDescent="0.55000000000000004">
      <c r="A12" s="5" t="s">
        <v>52</v>
      </c>
      <c r="B12" s="5" t="s">
        <v>9</v>
      </c>
      <c r="C12" s="5" t="s">
        <v>15</v>
      </c>
      <c r="D12" s="5">
        <v>150</v>
      </c>
      <c r="E12" s="5" t="s">
        <v>20</v>
      </c>
      <c r="F12" s="5" t="s">
        <v>25</v>
      </c>
    </row>
    <row r="13" spans="1:6" x14ac:dyDescent="0.55000000000000004">
      <c r="A13" s="5" t="s">
        <v>52</v>
      </c>
      <c r="B13" s="5" t="s">
        <v>10</v>
      </c>
      <c r="C13" s="5" t="s">
        <v>16</v>
      </c>
      <c r="D13" s="5">
        <v>0</v>
      </c>
      <c r="E13" s="5" t="s">
        <v>20</v>
      </c>
      <c r="F13" s="5" t="s">
        <v>26</v>
      </c>
    </row>
    <row r="14" spans="1:6" x14ac:dyDescent="0.55000000000000004">
      <c r="A14" s="5" t="s">
        <v>52</v>
      </c>
      <c r="B14" s="5" t="s">
        <v>11</v>
      </c>
      <c r="C14" s="5" t="s">
        <v>17</v>
      </c>
      <c r="D14" s="5">
        <v>240</v>
      </c>
      <c r="E14" s="5" t="s">
        <v>21</v>
      </c>
      <c r="F14" s="5" t="s">
        <v>27</v>
      </c>
    </row>
    <row r="15" spans="1:6" x14ac:dyDescent="0.55000000000000004">
      <c r="A15" s="5" t="s">
        <v>52</v>
      </c>
      <c r="B15" s="5" t="s">
        <v>12</v>
      </c>
      <c r="C15" s="5" t="s">
        <v>18</v>
      </c>
      <c r="D15" s="5">
        <v>6.3</v>
      </c>
      <c r="E15" s="5" t="s">
        <v>22</v>
      </c>
      <c r="F15" s="5" t="s">
        <v>28</v>
      </c>
    </row>
    <row r="16" spans="1:6" x14ac:dyDescent="0.55000000000000004">
      <c r="A16" s="6" t="s">
        <v>53</v>
      </c>
      <c r="B16" s="6" t="s">
        <v>6</v>
      </c>
      <c r="C16" s="6" t="s">
        <v>13</v>
      </c>
      <c r="D16" s="6">
        <v>86</v>
      </c>
      <c r="E16" s="6" t="s">
        <v>19</v>
      </c>
      <c r="F16" s="6" t="s">
        <v>23</v>
      </c>
    </row>
    <row r="17" spans="1:6" x14ac:dyDescent="0.55000000000000004">
      <c r="A17" s="6" t="s">
        <v>53</v>
      </c>
      <c r="B17" s="6" t="s">
        <v>7</v>
      </c>
      <c r="C17" s="6" t="s">
        <v>14</v>
      </c>
      <c r="D17" s="6">
        <v>427</v>
      </c>
      <c r="E17" s="6" t="s">
        <v>19</v>
      </c>
      <c r="F17" s="6" t="s">
        <v>23</v>
      </c>
    </row>
    <row r="18" spans="1:6" x14ac:dyDescent="0.55000000000000004">
      <c r="A18" s="6" t="s">
        <v>53</v>
      </c>
      <c r="B18" s="6" t="s">
        <v>8</v>
      </c>
      <c r="C18" s="6" t="s">
        <v>34</v>
      </c>
      <c r="D18" s="6">
        <v>5632.7039999999997</v>
      </c>
      <c r="E18" s="6" t="s">
        <v>20</v>
      </c>
      <c r="F18" s="6" t="s">
        <v>24</v>
      </c>
    </row>
    <row r="19" spans="1:6" x14ac:dyDescent="0.55000000000000004">
      <c r="A19" s="6" t="s">
        <v>53</v>
      </c>
      <c r="B19" s="6" t="s">
        <v>9</v>
      </c>
      <c r="C19" s="6" t="s">
        <v>15</v>
      </c>
      <c r="D19" s="6">
        <v>300</v>
      </c>
      <c r="E19" s="6" t="s">
        <v>20</v>
      </c>
      <c r="F19" s="6" t="s">
        <v>25</v>
      </c>
    </row>
    <row r="20" spans="1:6" x14ac:dyDescent="0.55000000000000004">
      <c r="A20" s="6" t="s">
        <v>53</v>
      </c>
      <c r="B20" s="6" t="s">
        <v>10</v>
      </c>
      <c r="C20" s="6" t="s">
        <v>16</v>
      </c>
      <c r="D20" s="6">
        <v>0</v>
      </c>
      <c r="E20" s="6" t="s">
        <v>20</v>
      </c>
      <c r="F20" s="6" t="s">
        <v>26</v>
      </c>
    </row>
    <row r="21" spans="1:6" x14ac:dyDescent="0.55000000000000004">
      <c r="A21" s="6" t="s">
        <v>53</v>
      </c>
      <c r="B21" s="6" t="s">
        <v>11</v>
      </c>
      <c r="C21" s="6" t="s">
        <v>17</v>
      </c>
      <c r="D21" s="6">
        <v>240</v>
      </c>
      <c r="E21" s="6" t="s">
        <v>21</v>
      </c>
      <c r="F21" s="6" t="s">
        <v>27</v>
      </c>
    </row>
    <row r="22" spans="1:6" x14ac:dyDescent="0.55000000000000004">
      <c r="A22" s="6" t="s">
        <v>53</v>
      </c>
      <c r="B22" s="6" t="s">
        <v>12</v>
      </c>
      <c r="C22" s="6" t="s">
        <v>18</v>
      </c>
      <c r="D22" s="6">
        <v>6.3</v>
      </c>
      <c r="E22" s="6" t="s">
        <v>22</v>
      </c>
      <c r="F22" s="6" t="s">
        <v>28</v>
      </c>
    </row>
    <row r="23" spans="1:6" x14ac:dyDescent="0.55000000000000004">
      <c r="A23" s="7" t="s">
        <v>54</v>
      </c>
      <c r="B23" s="7" t="s">
        <v>6</v>
      </c>
      <c r="C23" s="7" t="s">
        <v>13</v>
      </c>
      <c r="D23" s="7">
        <v>175</v>
      </c>
      <c r="E23" s="7" t="s">
        <v>19</v>
      </c>
      <c r="F23" s="7" t="s">
        <v>23</v>
      </c>
    </row>
    <row r="24" spans="1:6" x14ac:dyDescent="0.55000000000000004">
      <c r="A24" s="7" t="s">
        <v>54</v>
      </c>
      <c r="B24" s="7" t="s">
        <v>7</v>
      </c>
      <c r="C24" s="7" t="s">
        <v>14</v>
      </c>
      <c r="D24" s="7">
        <v>361</v>
      </c>
      <c r="E24" s="7" t="s">
        <v>19</v>
      </c>
      <c r="F24" s="7" t="s">
        <v>23</v>
      </c>
    </row>
    <row r="25" spans="1:6" x14ac:dyDescent="0.55000000000000004">
      <c r="A25" s="7" t="s">
        <v>54</v>
      </c>
      <c r="B25" s="7" t="s">
        <v>8</v>
      </c>
      <c r="C25" s="7" t="s">
        <v>34</v>
      </c>
      <c r="D25" s="7">
        <v>5632.7039999999997</v>
      </c>
      <c r="E25" s="7" t="s">
        <v>20</v>
      </c>
      <c r="F25" s="7" t="s">
        <v>24</v>
      </c>
    </row>
    <row r="26" spans="1:6" x14ac:dyDescent="0.55000000000000004">
      <c r="A26" s="7" t="s">
        <v>54</v>
      </c>
      <c r="B26" s="7" t="s">
        <v>9</v>
      </c>
      <c r="C26" s="7" t="s">
        <v>15</v>
      </c>
      <c r="D26" s="7">
        <v>100</v>
      </c>
      <c r="E26" s="7" t="s">
        <v>20</v>
      </c>
      <c r="F26" s="7" t="s">
        <v>25</v>
      </c>
    </row>
    <row r="27" spans="1:6" x14ac:dyDescent="0.55000000000000004">
      <c r="A27" s="7" t="s">
        <v>54</v>
      </c>
      <c r="B27" s="7" t="s">
        <v>10</v>
      </c>
      <c r="C27" s="7" t="s">
        <v>16</v>
      </c>
      <c r="D27" s="7">
        <v>0</v>
      </c>
      <c r="E27" s="7" t="s">
        <v>20</v>
      </c>
      <c r="F27" s="7" t="s">
        <v>26</v>
      </c>
    </row>
    <row r="28" spans="1:6" x14ac:dyDescent="0.55000000000000004">
      <c r="A28" s="7" t="s">
        <v>54</v>
      </c>
      <c r="B28" s="7" t="s">
        <v>11</v>
      </c>
      <c r="C28" s="7" t="s">
        <v>17</v>
      </c>
      <c r="D28" s="7">
        <v>240</v>
      </c>
      <c r="E28" s="7" t="s">
        <v>21</v>
      </c>
      <c r="F28" s="7" t="s">
        <v>27</v>
      </c>
    </row>
    <row r="29" spans="1:6" x14ac:dyDescent="0.55000000000000004">
      <c r="A29" s="7" t="s">
        <v>54</v>
      </c>
      <c r="B29" s="7" t="s">
        <v>12</v>
      </c>
      <c r="C29" s="7" t="s">
        <v>18</v>
      </c>
      <c r="D29" s="7">
        <v>6.3</v>
      </c>
      <c r="E29" s="7" t="s">
        <v>22</v>
      </c>
      <c r="F29" s="7" t="s">
        <v>28</v>
      </c>
    </row>
    <row r="30" spans="1:6" x14ac:dyDescent="0.55000000000000004">
      <c r="A30" s="8" t="s">
        <v>55</v>
      </c>
      <c r="B30" s="8" t="s">
        <v>6</v>
      </c>
      <c r="C30" s="8" t="s">
        <v>13</v>
      </c>
      <c r="D30" s="8">
        <v>180</v>
      </c>
      <c r="E30" s="8" t="s">
        <v>19</v>
      </c>
      <c r="F30" s="8" t="s">
        <v>23</v>
      </c>
    </row>
    <row r="31" spans="1:6" x14ac:dyDescent="0.55000000000000004">
      <c r="A31" s="8" t="s">
        <v>55</v>
      </c>
      <c r="B31" s="8" t="s">
        <v>7</v>
      </c>
      <c r="C31" s="8" t="s">
        <v>14</v>
      </c>
      <c r="D31" s="8">
        <v>299</v>
      </c>
      <c r="E31" s="8" t="s">
        <v>19</v>
      </c>
      <c r="F31" s="8" t="s">
        <v>23</v>
      </c>
    </row>
    <row r="32" spans="1:6" x14ac:dyDescent="0.55000000000000004">
      <c r="A32" s="8" t="s">
        <v>55</v>
      </c>
      <c r="B32" s="8" t="s">
        <v>8</v>
      </c>
      <c r="C32" s="8" t="s">
        <v>34</v>
      </c>
      <c r="D32" s="8">
        <v>5632.7039999999997</v>
      </c>
      <c r="E32" s="8" t="s">
        <v>20</v>
      </c>
      <c r="F32" s="8" t="s">
        <v>24</v>
      </c>
    </row>
    <row r="33" spans="1:6" x14ac:dyDescent="0.55000000000000004">
      <c r="A33" s="8" t="s">
        <v>55</v>
      </c>
      <c r="B33" s="8" t="s">
        <v>9</v>
      </c>
      <c r="C33" s="8" t="s">
        <v>15</v>
      </c>
      <c r="D33" s="8">
        <v>0</v>
      </c>
      <c r="E33" s="8" t="s">
        <v>20</v>
      </c>
      <c r="F33" s="8" t="s">
        <v>25</v>
      </c>
    </row>
    <row r="34" spans="1:6" x14ac:dyDescent="0.55000000000000004">
      <c r="A34" s="8" t="s">
        <v>55</v>
      </c>
      <c r="B34" s="8" t="s">
        <v>10</v>
      </c>
      <c r="C34" s="8" t="s">
        <v>16</v>
      </c>
      <c r="D34" s="8">
        <v>0</v>
      </c>
      <c r="E34" s="8" t="s">
        <v>20</v>
      </c>
      <c r="F34" s="8" t="s">
        <v>26</v>
      </c>
    </row>
    <row r="35" spans="1:6" x14ac:dyDescent="0.55000000000000004">
      <c r="A35" s="8" t="s">
        <v>55</v>
      </c>
      <c r="B35" s="8" t="s">
        <v>11</v>
      </c>
      <c r="C35" s="8" t="s">
        <v>17</v>
      </c>
      <c r="D35" s="8">
        <v>240</v>
      </c>
      <c r="E35" s="8" t="s">
        <v>21</v>
      </c>
      <c r="F35" s="8" t="s">
        <v>27</v>
      </c>
    </row>
    <row r="36" spans="1:6" x14ac:dyDescent="0.55000000000000004">
      <c r="A36" s="8" t="s">
        <v>55</v>
      </c>
      <c r="B36" s="8" t="s">
        <v>12</v>
      </c>
      <c r="C36" s="8" t="s">
        <v>18</v>
      </c>
      <c r="D36" s="8">
        <v>6.3</v>
      </c>
      <c r="E36" s="8" t="s">
        <v>22</v>
      </c>
      <c r="F36" s="8" t="s">
        <v>28</v>
      </c>
    </row>
    <row r="37" spans="1:6" x14ac:dyDescent="0.55000000000000004">
      <c r="A37" s="9" t="s">
        <v>56</v>
      </c>
      <c r="B37" s="9" t="s">
        <v>6</v>
      </c>
      <c r="C37" s="9" t="s">
        <v>13</v>
      </c>
      <c r="D37" s="9">
        <v>125</v>
      </c>
      <c r="E37" s="9" t="s">
        <v>19</v>
      </c>
      <c r="F37" s="9" t="s">
        <v>23</v>
      </c>
    </row>
    <row r="38" spans="1:6" x14ac:dyDescent="0.55000000000000004">
      <c r="A38" s="9" t="s">
        <v>56</v>
      </c>
      <c r="B38" s="9" t="s">
        <v>7</v>
      </c>
      <c r="C38" s="9" t="s">
        <v>14</v>
      </c>
      <c r="D38" s="9">
        <v>142</v>
      </c>
      <c r="E38" s="9" t="s">
        <v>19</v>
      </c>
      <c r="F38" s="9" t="s">
        <v>23</v>
      </c>
    </row>
    <row r="39" spans="1:6" x14ac:dyDescent="0.55000000000000004">
      <c r="A39" s="9" t="s">
        <v>56</v>
      </c>
      <c r="B39" s="9" t="s">
        <v>8</v>
      </c>
      <c r="C39" s="9" t="s">
        <v>34</v>
      </c>
      <c r="D39" s="9">
        <v>5632.7039999999997</v>
      </c>
      <c r="E39" s="9" t="s">
        <v>20</v>
      </c>
      <c r="F39" s="9" t="s">
        <v>24</v>
      </c>
    </row>
    <row r="40" spans="1:6" x14ac:dyDescent="0.55000000000000004">
      <c r="A40" s="9" t="s">
        <v>56</v>
      </c>
      <c r="B40" s="9" t="s">
        <v>9</v>
      </c>
      <c r="C40" s="9" t="s">
        <v>15</v>
      </c>
      <c r="D40" s="9">
        <v>400</v>
      </c>
      <c r="E40" s="9" t="s">
        <v>20</v>
      </c>
      <c r="F40" s="9" t="s">
        <v>25</v>
      </c>
    </row>
    <row r="41" spans="1:6" x14ac:dyDescent="0.55000000000000004">
      <c r="A41" s="9" t="s">
        <v>56</v>
      </c>
      <c r="B41" s="9" t="s">
        <v>10</v>
      </c>
      <c r="C41" s="9" t="s">
        <v>16</v>
      </c>
      <c r="D41" s="9">
        <v>0</v>
      </c>
      <c r="E41" s="9" t="s">
        <v>20</v>
      </c>
      <c r="F41" s="9" t="s">
        <v>26</v>
      </c>
    </row>
    <row r="42" spans="1:6" x14ac:dyDescent="0.55000000000000004">
      <c r="A42" s="9" t="s">
        <v>56</v>
      </c>
      <c r="B42" s="9" t="s">
        <v>11</v>
      </c>
      <c r="C42" s="9" t="s">
        <v>17</v>
      </c>
      <c r="D42" s="9">
        <v>240</v>
      </c>
      <c r="E42" s="9" t="s">
        <v>21</v>
      </c>
      <c r="F42" s="9" t="s">
        <v>27</v>
      </c>
    </row>
    <row r="43" spans="1:6" x14ac:dyDescent="0.55000000000000004">
      <c r="A43" s="9" t="s">
        <v>56</v>
      </c>
      <c r="B43" s="9" t="s">
        <v>12</v>
      </c>
      <c r="C43" s="9" t="s">
        <v>18</v>
      </c>
      <c r="D43" s="9">
        <v>6.3</v>
      </c>
      <c r="E43" s="9" t="s">
        <v>22</v>
      </c>
      <c r="F43" s="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" sqref="D1"/>
    </sheetView>
  </sheetViews>
  <sheetFormatPr defaultRowHeight="14.4" x14ac:dyDescent="0.55000000000000004"/>
  <cols>
    <col min="1" max="1" width="28.3125" bestFit="1" customWidth="1"/>
    <col min="2" max="2" width="18.7890625" bestFit="1" customWidth="1"/>
    <col min="3" max="3" width="4.3125" bestFit="1" customWidth="1"/>
    <col min="4" max="4" width="28.734375" bestFit="1" customWidth="1"/>
    <col min="5" max="5" width="36.3125" bestFit="1" customWidth="1"/>
  </cols>
  <sheetData>
    <row r="1" spans="1:5" x14ac:dyDescent="0.55000000000000004">
      <c r="A1" s="1" t="s">
        <v>1</v>
      </c>
      <c r="B1" s="1" t="s">
        <v>2</v>
      </c>
      <c r="C1" s="1" t="s">
        <v>4</v>
      </c>
      <c r="D1" s="1" t="s">
        <v>29</v>
      </c>
      <c r="E1" s="2"/>
    </row>
    <row r="2" spans="1:5" x14ac:dyDescent="0.55000000000000004">
      <c r="A2" t="s">
        <v>6</v>
      </c>
      <c r="B2" t="s">
        <v>13</v>
      </c>
      <c r="C2" t="s">
        <v>19</v>
      </c>
      <c r="D2">
        <v>0.16500000000000001</v>
      </c>
    </row>
    <row r="3" spans="1:5" x14ac:dyDescent="0.55000000000000004">
      <c r="A3" t="s">
        <v>7</v>
      </c>
      <c r="B3" t="s">
        <v>14</v>
      </c>
      <c r="C3" t="s">
        <v>19</v>
      </c>
      <c r="D3">
        <v>0.184</v>
      </c>
    </row>
    <row r="4" spans="1:5" x14ac:dyDescent="0.55000000000000004">
      <c r="A4" t="s">
        <v>57</v>
      </c>
      <c r="B4" t="s">
        <v>34</v>
      </c>
      <c r="C4" t="s">
        <v>20</v>
      </c>
      <c r="D4" s="3">
        <v>0.112</v>
      </c>
    </row>
    <row r="5" spans="1:5" x14ac:dyDescent="0.55000000000000004">
      <c r="A5" t="s">
        <v>58</v>
      </c>
      <c r="B5" t="s">
        <v>34</v>
      </c>
      <c r="C5" t="s">
        <v>20</v>
      </c>
      <c r="D5" s="3">
        <v>0.125</v>
      </c>
    </row>
    <row r="6" spans="1:5" x14ac:dyDescent="0.55000000000000004">
      <c r="A6" t="s">
        <v>30</v>
      </c>
      <c r="B6" t="s">
        <v>15</v>
      </c>
      <c r="C6" t="s">
        <v>20</v>
      </c>
      <c r="D6">
        <v>4.1000000000000002E-2</v>
      </c>
    </row>
    <row r="7" spans="1:5" x14ac:dyDescent="0.55000000000000004">
      <c r="A7" t="s">
        <v>59</v>
      </c>
      <c r="B7" t="s">
        <v>60</v>
      </c>
      <c r="C7" t="s">
        <v>61</v>
      </c>
      <c r="D7" s="10">
        <v>0.18287</v>
      </c>
    </row>
    <row r="8" spans="1:5" x14ac:dyDescent="0.55000000000000004">
      <c r="A8" t="s">
        <v>31</v>
      </c>
      <c r="B8" t="s">
        <v>17</v>
      </c>
      <c r="C8" t="s">
        <v>21</v>
      </c>
      <c r="D8">
        <v>0.46700000000000003</v>
      </c>
    </row>
    <row r="9" spans="1:5" x14ac:dyDescent="0.55000000000000004">
      <c r="A9" t="s">
        <v>33</v>
      </c>
      <c r="B9" t="s">
        <v>18</v>
      </c>
      <c r="C9" t="s">
        <v>22</v>
      </c>
      <c r="D9">
        <v>0.15311</v>
      </c>
    </row>
    <row r="10" spans="1:5" x14ac:dyDescent="0.55000000000000004">
      <c r="A10" t="s">
        <v>32</v>
      </c>
      <c r="B10" t="s">
        <v>35</v>
      </c>
      <c r="C10" t="s">
        <v>21</v>
      </c>
      <c r="D10">
        <v>0.02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defaultRowHeight="14.4" x14ac:dyDescent="0.55000000000000004"/>
  <cols>
    <col min="1" max="1" width="14.5234375" bestFit="1" customWidth="1"/>
    <col min="2" max="2" width="11.89453125" bestFit="1" customWidth="1"/>
  </cols>
  <sheetData>
    <row r="1" spans="1:2" x14ac:dyDescent="0.55000000000000004">
      <c r="A1" s="1" t="s">
        <v>36</v>
      </c>
      <c r="B1" s="1" t="s">
        <v>37</v>
      </c>
    </row>
    <row r="2" spans="1:2" x14ac:dyDescent="0.55000000000000004">
      <c r="A2" t="s">
        <v>6</v>
      </c>
      <c r="B2" t="s">
        <v>38</v>
      </c>
    </row>
    <row r="3" spans="1:2" x14ac:dyDescent="0.55000000000000004">
      <c r="A3" t="s">
        <v>7</v>
      </c>
      <c r="B3" t="s">
        <v>39</v>
      </c>
    </row>
    <row r="4" spans="1:2" x14ac:dyDescent="0.55000000000000004">
      <c r="A4" t="s">
        <v>8</v>
      </c>
      <c r="B4" t="s">
        <v>39</v>
      </c>
    </row>
    <row r="5" spans="1:2" x14ac:dyDescent="0.55000000000000004">
      <c r="A5" t="s">
        <v>9</v>
      </c>
      <c r="B5" t="s">
        <v>40</v>
      </c>
    </row>
    <row r="6" spans="1:2" x14ac:dyDescent="0.55000000000000004">
      <c r="A6" t="s">
        <v>10</v>
      </c>
      <c r="B6" t="s">
        <v>40</v>
      </c>
    </row>
    <row r="7" spans="1:2" x14ac:dyDescent="0.55000000000000004">
      <c r="A7" t="s">
        <v>11</v>
      </c>
      <c r="B7" t="s">
        <v>40</v>
      </c>
    </row>
    <row r="8" spans="1:2" x14ac:dyDescent="0.55000000000000004">
      <c r="A8" t="s">
        <v>12</v>
      </c>
      <c r="B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5"/>
  <sheetViews>
    <sheetView tabSelected="1" zoomScale="80" zoomScaleNormal="80" workbookViewId="0">
      <selection activeCell="I35" sqref="I35"/>
    </sheetView>
  </sheetViews>
  <sheetFormatPr defaultRowHeight="14.4" x14ac:dyDescent="0.55000000000000004"/>
  <cols>
    <col min="1" max="1" width="23.20703125" customWidth="1"/>
    <col min="2" max="2" width="14.68359375" customWidth="1"/>
    <col min="3" max="7" width="10.68359375" customWidth="1"/>
    <col min="8" max="8" width="11.68359375" customWidth="1"/>
    <col min="9" max="9" width="10.20703125" customWidth="1"/>
    <col min="13" max="13" width="22.20703125" bestFit="1" customWidth="1"/>
  </cols>
  <sheetData>
    <row r="3" spans="1:13" x14ac:dyDescent="0.55000000000000004">
      <c r="A3" s="11" t="s">
        <v>70</v>
      </c>
      <c r="B3" s="11" t="s">
        <v>69</v>
      </c>
    </row>
    <row r="4" spans="1:13" ht="16.8" x14ac:dyDescent="0.75">
      <c r="A4" s="11" t="s">
        <v>67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68</v>
      </c>
      <c r="L4" t="s">
        <v>71</v>
      </c>
      <c r="M4" t="s">
        <v>72</v>
      </c>
    </row>
    <row r="5" spans="1:13" x14ac:dyDescent="0.55000000000000004">
      <c r="A5" s="12" t="s">
        <v>6</v>
      </c>
      <c r="B5" s="15">
        <v>27.39</v>
      </c>
      <c r="C5" s="15">
        <v>31.68</v>
      </c>
      <c r="D5" s="15">
        <v>14.190000000000001</v>
      </c>
      <c r="E5" s="15">
        <v>28.875</v>
      </c>
      <c r="F5" s="15">
        <v>29.700000000000003</v>
      </c>
      <c r="G5" s="15">
        <v>20.625</v>
      </c>
      <c r="H5" s="15">
        <v>152.46</v>
      </c>
      <c r="L5" s="12" t="s">
        <v>51</v>
      </c>
      <c r="M5" s="15">
        <v>927.69744100000003</v>
      </c>
    </row>
    <row r="6" spans="1:13" x14ac:dyDescent="0.55000000000000004">
      <c r="A6" s="12" t="s">
        <v>10</v>
      </c>
      <c r="B6" s="15">
        <v>0</v>
      </c>
      <c r="C6" s="15">
        <v>6.15</v>
      </c>
      <c r="D6" s="15">
        <v>0</v>
      </c>
      <c r="E6" s="15">
        <v>0</v>
      </c>
      <c r="F6" s="15">
        <v>0</v>
      </c>
      <c r="G6" s="15">
        <v>0</v>
      </c>
      <c r="H6" s="15">
        <v>6.15</v>
      </c>
      <c r="L6" s="12" t="s">
        <v>52</v>
      </c>
      <c r="M6" s="15">
        <v>990.025441</v>
      </c>
    </row>
    <row r="7" spans="1:13" x14ac:dyDescent="0.55000000000000004">
      <c r="A7" s="12" t="s">
        <v>7</v>
      </c>
      <c r="B7" s="15">
        <v>156.4</v>
      </c>
      <c r="C7" s="15">
        <v>208.28799999999998</v>
      </c>
      <c r="D7" s="15">
        <v>78.567999999999998</v>
      </c>
      <c r="E7" s="15">
        <v>66.423999999999992</v>
      </c>
      <c r="F7" s="15">
        <v>55.015999999999998</v>
      </c>
      <c r="G7" s="15">
        <v>26.128</v>
      </c>
      <c r="H7" s="15">
        <v>590.82399999999996</v>
      </c>
      <c r="L7" s="12" t="s">
        <v>53</v>
      </c>
      <c r="M7" s="15">
        <v>874.1654410000001</v>
      </c>
    </row>
    <row r="8" spans="1:13" x14ac:dyDescent="0.55000000000000004">
      <c r="A8" s="12" t="s">
        <v>8</v>
      </c>
      <c r="B8" s="15">
        <v>630.86284799999999</v>
      </c>
      <c r="C8" s="15">
        <v>630.86284799999999</v>
      </c>
      <c r="D8" s="15">
        <v>630.86284799999999</v>
      </c>
      <c r="E8" s="15">
        <v>630.86284799999999</v>
      </c>
      <c r="F8" s="15">
        <v>630.86284799999999</v>
      </c>
      <c r="G8" s="15">
        <v>630.86284799999999</v>
      </c>
      <c r="H8" s="15">
        <v>3785.1770879999995</v>
      </c>
      <c r="L8" s="12" t="s">
        <v>54</v>
      </c>
      <c r="M8" s="15">
        <v>851.70644100000004</v>
      </c>
    </row>
    <row r="9" spans="1:13" x14ac:dyDescent="0.55000000000000004">
      <c r="A9" s="12" t="s">
        <v>9</v>
      </c>
      <c r="B9" s="15">
        <v>0</v>
      </c>
      <c r="C9" s="15">
        <v>0</v>
      </c>
      <c r="D9" s="15">
        <v>37.5</v>
      </c>
      <c r="E9" s="15">
        <v>12.5</v>
      </c>
      <c r="F9" s="15">
        <v>0</v>
      </c>
      <c r="G9" s="15">
        <v>50</v>
      </c>
      <c r="H9" s="15">
        <v>100</v>
      </c>
      <c r="L9" s="12" t="s">
        <v>55</v>
      </c>
      <c r="M9" s="15">
        <v>828.62344100000007</v>
      </c>
    </row>
    <row r="10" spans="1:13" x14ac:dyDescent="0.55000000000000004">
      <c r="A10" s="12" t="s">
        <v>11</v>
      </c>
      <c r="B10" s="15">
        <v>112.08000000000001</v>
      </c>
      <c r="C10" s="15">
        <v>112.08000000000001</v>
      </c>
      <c r="D10" s="15">
        <v>112.08000000000001</v>
      </c>
      <c r="E10" s="15">
        <v>112.08000000000001</v>
      </c>
      <c r="F10" s="15">
        <v>112.08000000000001</v>
      </c>
      <c r="G10" s="15">
        <v>112.08000000000001</v>
      </c>
      <c r="H10" s="15">
        <v>672.48000000000013</v>
      </c>
      <c r="L10" s="12" t="s">
        <v>56</v>
      </c>
      <c r="M10" s="15">
        <v>840.66044100000011</v>
      </c>
    </row>
    <row r="11" spans="1:13" x14ac:dyDescent="0.55000000000000004">
      <c r="A11" s="12" t="s">
        <v>12</v>
      </c>
      <c r="B11" s="15">
        <v>0.96459299999999992</v>
      </c>
      <c r="C11" s="15">
        <v>0.96459299999999992</v>
      </c>
      <c r="D11" s="15">
        <v>0.96459299999999992</v>
      </c>
      <c r="E11" s="15">
        <v>0.96459299999999992</v>
      </c>
      <c r="F11" s="15">
        <v>0.96459299999999992</v>
      </c>
      <c r="G11" s="15">
        <v>0.96459299999999992</v>
      </c>
      <c r="H11" s="15">
        <v>5.7875579999999998</v>
      </c>
    </row>
    <row r="12" spans="1:13" x14ac:dyDescent="0.55000000000000004">
      <c r="A12" s="12" t="s">
        <v>68</v>
      </c>
      <c r="B12" s="15">
        <v>927.69744100000003</v>
      </c>
      <c r="C12" s="15">
        <v>990.025441</v>
      </c>
      <c r="D12" s="15">
        <v>874.1654410000001</v>
      </c>
      <c r="E12" s="15">
        <v>851.70644100000004</v>
      </c>
      <c r="F12" s="15">
        <v>828.62344100000007</v>
      </c>
      <c r="G12" s="15">
        <v>840.66044100000011</v>
      </c>
      <c r="H12" s="15">
        <v>5312.8786460000001</v>
      </c>
    </row>
    <row r="19" spans="1:4" x14ac:dyDescent="0.55000000000000004">
      <c r="D19" t="s">
        <v>63</v>
      </c>
    </row>
    <row r="20" spans="1:4" x14ac:dyDescent="0.55000000000000004">
      <c r="D20" s="15">
        <v>4376.0010880000009</v>
      </c>
    </row>
    <row r="21" spans="1:4" x14ac:dyDescent="0.55000000000000004">
      <c r="C21" t="s">
        <v>38</v>
      </c>
      <c r="D21" s="15">
        <v>152.46</v>
      </c>
    </row>
    <row r="22" spans="1:4" x14ac:dyDescent="0.55000000000000004">
      <c r="C22" t="s">
        <v>40</v>
      </c>
      <c r="D22" s="15">
        <v>784.4175580000001</v>
      </c>
    </row>
    <row r="23" spans="1:4" x14ac:dyDescent="0.55000000000000004">
      <c r="D23" s="17"/>
    </row>
    <row r="25" spans="1:4" x14ac:dyDescent="0.55000000000000004">
      <c r="D25" s="10"/>
    </row>
    <row r="26" spans="1:4" x14ac:dyDescent="0.55000000000000004">
      <c r="A26" t="s">
        <v>64</v>
      </c>
      <c r="B26" t="s">
        <v>63</v>
      </c>
    </row>
    <row r="27" spans="1:4" x14ac:dyDescent="0.55000000000000004">
      <c r="A27" s="12" t="s">
        <v>6</v>
      </c>
      <c r="B27" s="15">
        <v>152.46</v>
      </c>
    </row>
    <row r="28" spans="1:4" x14ac:dyDescent="0.55000000000000004">
      <c r="A28" s="12" t="s">
        <v>10</v>
      </c>
      <c r="B28" s="15">
        <v>0</v>
      </c>
    </row>
    <row r="29" spans="1:4" x14ac:dyDescent="0.55000000000000004">
      <c r="A29" s="12" t="s">
        <v>7</v>
      </c>
      <c r="B29" s="15">
        <v>590.82399999999996</v>
      </c>
    </row>
    <row r="30" spans="1:4" x14ac:dyDescent="0.55000000000000004">
      <c r="A30" s="12" t="s">
        <v>8</v>
      </c>
      <c r="B30" s="15">
        <v>3785.1770879999995</v>
      </c>
    </row>
    <row r="31" spans="1:4" x14ac:dyDescent="0.55000000000000004">
      <c r="A31" s="12" t="s">
        <v>9</v>
      </c>
      <c r="B31" s="15">
        <v>100</v>
      </c>
    </row>
    <row r="32" spans="1:4" x14ac:dyDescent="0.55000000000000004">
      <c r="A32" s="12" t="s">
        <v>11</v>
      </c>
      <c r="B32" s="15">
        <v>672.48000000000013</v>
      </c>
    </row>
    <row r="33" spans="1:14" x14ac:dyDescent="0.55000000000000004">
      <c r="A33" s="12" t="s">
        <v>12</v>
      </c>
      <c r="B33" s="15">
        <v>5.7875579999999998</v>
      </c>
    </row>
    <row r="38" spans="1:14" x14ac:dyDescent="0.55000000000000004">
      <c r="F38" s="14" t="s">
        <v>71</v>
      </c>
      <c r="G38" s="14" t="s">
        <v>6</v>
      </c>
      <c r="H38" s="14"/>
      <c r="I38" s="14" t="s">
        <v>7</v>
      </c>
      <c r="J38" s="14"/>
      <c r="K38" s="14"/>
      <c r="L38" s="14" t="s">
        <v>11</v>
      </c>
      <c r="M38" s="14" t="s">
        <v>12</v>
      </c>
      <c r="N38" s="14"/>
    </row>
    <row r="39" spans="1:14" x14ac:dyDescent="0.55000000000000004">
      <c r="F39" s="12" t="s">
        <v>51</v>
      </c>
      <c r="G39" s="15">
        <v>27.39</v>
      </c>
      <c r="H39" s="15"/>
      <c r="I39" s="15">
        <v>156.4</v>
      </c>
      <c r="J39" s="15"/>
      <c r="K39" s="15"/>
      <c r="L39" s="15">
        <v>112.08000000000001</v>
      </c>
      <c r="M39" s="15">
        <v>0.96459299999999992</v>
      </c>
      <c r="N39" s="15"/>
    </row>
    <row r="40" spans="1:14" x14ac:dyDescent="0.55000000000000004">
      <c r="F40" s="12" t="s">
        <v>52</v>
      </c>
      <c r="G40" s="15">
        <v>31.68</v>
      </c>
      <c r="H40" s="15"/>
      <c r="I40" s="15">
        <v>208.28799999999998</v>
      </c>
      <c r="J40" s="15"/>
      <c r="K40" s="15"/>
      <c r="L40" s="15">
        <v>112.08000000000001</v>
      </c>
      <c r="M40" s="15">
        <v>0.96459299999999992</v>
      </c>
      <c r="N40" s="15"/>
    </row>
    <row r="41" spans="1:14" x14ac:dyDescent="0.55000000000000004">
      <c r="F41" s="12" t="s">
        <v>53</v>
      </c>
      <c r="G41" s="15">
        <v>14.190000000000001</v>
      </c>
      <c r="H41" s="15"/>
      <c r="I41" s="15">
        <v>78.567999999999998</v>
      </c>
      <c r="J41" s="15"/>
      <c r="K41" s="15"/>
      <c r="L41" s="15">
        <v>112.08000000000001</v>
      </c>
      <c r="M41" s="15">
        <v>0.96459299999999992</v>
      </c>
      <c r="N41" s="15"/>
    </row>
    <row r="42" spans="1:14" x14ac:dyDescent="0.55000000000000004">
      <c r="F42" s="12" t="s">
        <v>54</v>
      </c>
      <c r="G42" s="15">
        <v>28.875</v>
      </c>
      <c r="H42" s="15"/>
      <c r="I42" s="15">
        <v>66.423999999999992</v>
      </c>
      <c r="J42" s="15"/>
      <c r="K42" s="15"/>
      <c r="L42" s="15">
        <v>112.08000000000001</v>
      </c>
      <c r="M42" s="15">
        <v>0.96459299999999992</v>
      </c>
      <c r="N42" s="15"/>
    </row>
    <row r="43" spans="1:14" x14ac:dyDescent="0.55000000000000004">
      <c r="F43" s="12" t="s">
        <v>55</v>
      </c>
      <c r="G43" s="15">
        <v>29.700000000000003</v>
      </c>
      <c r="H43" s="15"/>
      <c r="I43" s="15">
        <v>55.015999999999998</v>
      </c>
      <c r="J43" s="15"/>
      <c r="K43" s="15"/>
      <c r="L43" s="15">
        <v>112.08000000000001</v>
      </c>
      <c r="M43" s="15">
        <v>0.96459299999999992</v>
      </c>
      <c r="N43" s="15"/>
    </row>
    <row r="44" spans="1:14" x14ac:dyDescent="0.55000000000000004">
      <c r="F44" s="12" t="s">
        <v>56</v>
      </c>
      <c r="G44" s="15">
        <v>20.625</v>
      </c>
      <c r="H44" s="15"/>
      <c r="I44" s="15">
        <v>26.128</v>
      </c>
      <c r="J44" s="15"/>
      <c r="K44" s="15"/>
      <c r="L44" s="15">
        <v>112.08000000000001</v>
      </c>
      <c r="M44" s="15">
        <v>0.96459299999999992</v>
      </c>
      <c r="N44" s="15"/>
    </row>
    <row r="45" spans="1:14" x14ac:dyDescent="0.55000000000000004">
      <c r="F45" s="13" t="s">
        <v>68</v>
      </c>
      <c r="G45" s="16">
        <v>152.46</v>
      </c>
      <c r="H45" s="16"/>
      <c r="I45" s="16">
        <v>590.82399999999996</v>
      </c>
      <c r="J45" s="16"/>
      <c r="K45" s="16"/>
      <c r="L45" s="16">
        <v>672.48000000000013</v>
      </c>
      <c r="M45" s="16">
        <v>5.7875579999999998</v>
      </c>
      <c r="N45" s="16"/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70" zoomScaleNormal="70" workbookViewId="0">
      <selection activeCell="F40" sqref="F40"/>
    </sheetView>
  </sheetViews>
  <sheetFormatPr defaultRowHeight="14.4" x14ac:dyDescent="0.55000000000000004"/>
  <cols>
    <col min="1" max="1" width="15.68359375" bestFit="1" customWidth="1"/>
    <col min="2" max="2" width="8" bestFit="1" customWidth="1"/>
    <col min="3" max="3" width="28.3125" bestFit="1" customWidth="1"/>
    <col min="6" max="6" width="20.05078125" bestFit="1" customWidth="1"/>
    <col min="7" max="7" width="28.734375" bestFit="1" customWidth="1"/>
    <col min="8" max="8" width="17.1015625" bestFit="1" customWidth="1"/>
    <col min="9" max="9" width="6.83984375" bestFit="1" customWidth="1"/>
    <col min="10" max="10" width="21.68359375" bestFit="1" customWidth="1"/>
    <col min="11" max="11" width="21" bestFit="1" customWidth="1"/>
    <col min="12" max="12" width="28.3671875" bestFit="1" customWidth="1"/>
    <col min="13" max="13" width="12.83984375" bestFit="1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29</v>
      </c>
      <c r="H1" s="1" t="s">
        <v>42</v>
      </c>
      <c r="I1" s="1" t="s">
        <v>43</v>
      </c>
      <c r="J1" s="1" t="s">
        <v>46</v>
      </c>
      <c r="O1" t="s">
        <v>63</v>
      </c>
    </row>
    <row r="2" spans="1:15" x14ac:dyDescent="0.55000000000000004">
      <c r="A2" s="4" t="s">
        <v>51</v>
      </c>
      <c r="B2" s="4" t="s">
        <v>6</v>
      </c>
      <c r="C2" s="4" t="s">
        <v>6</v>
      </c>
      <c r="D2" s="4">
        <v>166</v>
      </c>
      <c r="E2" s="4" t="s">
        <v>19</v>
      </c>
      <c r="F2" s="4" t="s">
        <v>13</v>
      </c>
      <c r="G2">
        <v>0.16500000000000001</v>
      </c>
      <c r="H2">
        <f>D2*G2</f>
        <v>27.39</v>
      </c>
      <c r="I2" t="s">
        <v>38</v>
      </c>
      <c r="J2">
        <f>SUM(H2:H8)</f>
        <v>927.69744100000003</v>
      </c>
      <c r="N2" t="s">
        <v>39</v>
      </c>
      <c r="O2">
        <f>SUM(H3:H4,H10:H11,H17:H18,H24:H25,H31:H33,H38:H39)</f>
        <v>4376.0010880000009</v>
      </c>
    </row>
    <row r="3" spans="1:15" x14ac:dyDescent="0.55000000000000004">
      <c r="A3" s="4" t="s">
        <v>51</v>
      </c>
      <c r="B3" s="4" t="s">
        <v>7</v>
      </c>
      <c r="C3" s="4" t="s">
        <v>7</v>
      </c>
      <c r="D3" s="4">
        <v>850</v>
      </c>
      <c r="E3" s="4" t="s">
        <v>19</v>
      </c>
      <c r="F3" s="4" t="s">
        <v>14</v>
      </c>
      <c r="G3">
        <v>0.184</v>
      </c>
      <c r="H3">
        <f t="shared" ref="H3:H8" si="0">D3*G3</f>
        <v>156.4</v>
      </c>
      <c r="I3" t="s">
        <v>39</v>
      </c>
      <c r="N3" t="s">
        <v>38</v>
      </c>
      <c r="O3">
        <f>SUM(H2,H9,H16,H23,H30,H37)</f>
        <v>152.46</v>
      </c>
    </row>
    <row r="4" spans="1:15" x14ac:dyDescent="0.55000000000000004">
      <c r="A4" s="4" t="s">
        <v>51</v>
      </c>
      <c r="B4" s="4" t="s">
        <v>8</v>
      </c>
      <c r="C4" s="4" t="s">
        <v>65</v>
      </c>
      <c r="D4" s="4">
        <v>5632.7039999999997</v>
      </c>
      <c r="E4" s="4" t="s">
        <v>20</v>
      </c>
      <c r="F4" s="4" t="s">
        <v>34</v>
      </c>
      <c r="G4">
        <v>0.112</v>
      </c>
      <c r="H4">
        <f t="shared" si="0"/>
        <v>630.86284799999999</v>
      </c>
      <c r="I4" t="s">
        <v>39</v>
      </c>
      <c r="N4" t="s">
        <v>40</v>
      </c>
      <c r="O4">
        <f>SUM(H5:H8,H12:H15,H19:H22,H26:H29,H33:H36,H40:H43)</f>
        <v>797.01755800000024</v>
      </c>
    </row>
    <row r="5" spans="1:15" x14ac:dyDescent="0.55000000000000004">
      <c r="A5" s="4" t="s">
        <v>51</v>
      </c>
      <c r="B5" s="4" t="s">
        <v>9</v>
      </c>
      <c r="C5" s="4" t="s">
        <v>30</v>
      </c>
      <c r="D5" s="4">
        <v>0</v>
      </c>
      <c r="E5" s="4" t="s">
        <v>20</v>
      </c>
      <c r="F5" s="4" t="s">
        <v>15</v>
      </c>
      <c r="G5">
        <v>0.125</v>
      </c>
      <c r="H5">
        <f t="shared" si="0"/>
        <v>0</v>
      </c>
      <c r="I5" t="s">
        <v>40</v>
      </c>
      <c r="N5" t="s">
        <v>62</v>
      </c>
      <c r="O5">
        <f>SUM(O2:O4)</f>
        <v>5325.4786460000014</v>
      </c>
    </row>
    <row r="6" spans="1:15" x14ac:dyDescent="0.55000000000000004">
      <c r="A6" s="4" t="s">
        <v>51</v>
      </c>
      <c r="B6" s="4" t="s">
        <v>10</v>
      </c>
      <c r="C6" s="4" t="s">
        <v>59</v>
      </c>
      <c r="D6" s="4">
        <v>0</v>
      </c>
      <c r="E6" s="4" t="s">
        <v>20</v>
      </c>
      <c r="F6" s="4" t="s">
        <v>16</v>
      </c>
      <c r="G6">
        <v>4.1000000000000002E-2</v>
      </c>
      <c r="H6">
        <f t="shared" si="0"/>
        <v>0</v>
      </c>
      <c r="I6" t="s">
        <v>40</v>
      </c>
    </row>
    <row r="7" spans="1:15" x14ac:dyDescent="0.55000000000000004">
      <c r="A7" s="4" t="s">
        <v>51</v>
      </c>
      <c r="B7" s="4" t="s">
        <v>11</v>
      </c>
      <c r="C7" s="4" t="s">
        <v>31</v>
      </c>
      <c r="D7" s="4">
        <v>240</v>
      </c>
      <c r="E7" s="4" t="s">
        <v>21</v>
      </c>
      <c r="F7" s="4" t="s">
        <v>17</v>
      </c>
      <c r="G7">
        <v>0.46700000000000003</v>
      </c>
      <c r="H7">
        <f t="shared" si="0"/>
        <v>112.08000000000001</v>
      </c>
      <c r="I7" t="s">
        <v>40</v>
      </c>
      <c r="O7" s="10"/>
    </row>
    <row r="8" spans="1:15" x14ac:dyDescent="0.55000000000000004">
      <c r="A8" s="4" t="s">
        <v>51</v>
      </c>
      <c r="B8" s="4" t="s">
        <v>12</v>
      </c>
      <c r="C8" s="4" t="s">
        <v>33</v>
      </c>
      <c r="D8" s="4">
        <v>6.3</v>
      </c>
      <c r="E8" s="4" t="s">
        <v>22</v>
      </c>
      <c r="F8" s="4" t="s">
        <v>18</v>
      </c>
      <c r="G8">
        <v>0.15311</v>
      </c>
      <c r="H8">
        <f t="shared" si="0"/>
        <v>0.96459299999999992</v>
      </c>
      <c r="I8" t="s">
        <v>40</v>
      </c>
      <c r="L8" t="s">
        <v>64</v>
      </c>
      <c r="M8" t="s">
        <v>63</v>
      </c>
    </row>
    <row r="9" spans="1:15" x14ac:dyDescent="0.55000000000000004">
      <c r="A9" s="5" t="s">
        <v>52</v>
      </c>
      <c r="B9" s="5" t="s">
        <v>6</v>
      </c>
      <c r="C9" s="5" t="s">
        <v>6</v>
      </c>
      <c r="D9" s="5">
        <v>192</v>
      </c>
      <c r="E9" s="5" t="s">
        <v>19</v>
      </c>
      <c r="F9" s="5" t="s">
        <v>13</v>
      </c>
      <c r="G9">
        <v>0.16500000000000001</v>
      </c>
      <c r="H9">
        <f>D9*G9</f>
        <v>31.68</v>
      </c>
      <c r="I9" t="s">
        <v>38</v>
      </c>
      <c r="J9">
        <f>SUM(H9:H15)</f>
        <v>1002.625441</v>
      </c>
      <c r="L9" t="s">
        <v>6</v>
      </c>
    </row>
    <row r="10" spans="1:15" x14ac:dyDescent="0.55000000000000004">
      <c r="A10" s="5" t="s">
        <v>52</v>
      </c>
      <c r="B10" s="5" t="s">
        <v>7</v>
      </c>
      <c r="C10" s="5" t="s">
        <v>7</v>
      </c>
      <c r="D10" s="5">
        <v>1132</v>
      </c>
      <c r="E10" s="5" t="s">
        <v>19</v>
      </c>
      <c r="F10" s="5" t="s">
        <v>14</v>
      </c>
      <c r="G10">
        <v>0.184</v>
      </c>
      <c r="H10">
        <f t="shared" ref="H10:H15" si="1">D10*G10</f>
        <v>208.28799999999998</v>
      </c>
      <c r="I10" t="s">
        <v>39</v>
      </c>
      <c r="L10" t="s">
        <v>7</v>
      </c>
    </row>
    <row r="11" spans="1:15" x14ac:dyDescent="0.55000000000000004">
      <c r="A11" s="5" t="s">
        <v>52</v>
      </c>
      <c r="B11" s="5" t="s">
        <v>8</v>
      </c>
      <c r="C11" s="5" t="s">
        <v>57</v>
      </c>
      <c r="D11" s="5">
        <v>5632.7039999999997</v>
      </c>
      <c r="E11" s="5" t="s">
        <v>20</v>
      </c>
      <c r="F11" s="5" t="s">
        <v>34</v>
      </c>
      <c r="G11">
        <v>0.112</v>
      </c>
      <c r="H11">
        <f t="shared" si="1"/>
        <v>630.86284799999999</v>
      </c>
      <c r="I11" t="s">
        <v>39</v>
      </c>
      <c r="L11" t="s">
        <v>66</v>
      </c>
    </row>
    <row r="12" spans="1:15" x14ac:dyDescent="0.55000000000000004">
      <c r="A12" s="5" t="s">
        <v>52</v>
      </c>
      <c r="B12" s="5" t="s">
        <v>9</v>
      </c>
      <c r="C12" s="5" t="s">
        <v>30</v>
      </c>
      <c r="D12" s="5">
        <v>150</v>
      </c>
      <c r="E12" s="5" t="s">
        <v>20</v>
      </c>
      <c r="F12" s="5" t="s">
        <v>15</v>
      </c>
      <c r="G12">
        <v>0.125</v>
      </c>
      <c r="H12">
        <f>D12*G12</f>
        <v>18.75</v>
      </c>
      <c r="I12" t="s">
        <v>40</v>
      </c>
      <c r="L12" t="s">
        <v>30</v>
      </c>
    </row>
    <row r="13" spans="1:15" x14ac:dyDescent="0.55000000000000004">
      <c r="A13" s="5" t="s">
        <v>52</v>
      </c>
      <c r="B13" s="5" t="s">
        <v>10</v>
      </c>
      <c r="C13" s="5" t="s">
        <v>59</v>
      </c>
      <c r="D13" s="5">
        <v>0</v>
      </c>
      <c r="E13" s="5" t="s">
        <v>20</v>
      </c>
      <c r="F13" s="5" t="s">
        <v>16</v>
      </c>
      <c r="G13">
        <v>4.1000000000000002E-2</v>
      </c>
      <c r="H13">
        <f t="shared" si="1"/>
        <v>0</v>
      </c>
      <c r="I13" t="s">
        <v>40</v>
      </c>
      <c r="L13" t="s">
        <v>59</v>
      </c>
    </row>
    <row r="14" spans="1:15" x14ac:dyDescent="0.55000000000000004">
      <c r="A14" s="5" t="s">
        <v>52</v>
      </c>
      <c r="B14" s="5" t="s">
        <v>11</v>
      </c>
      <c r="C14" s="5" t="s">
        <v>31</v>
      </c>
      <c r="D14" s="5">
        <v>240</v>
      </c>
      <c r="E14" s="5" t="s">
        <v>21</v>
      </c>
      <c r="F14" s="5" t="s">
        <v>17</v>
      </c>
      <c r="G14">
        <v>0.46700000000000003</v>
      </c>
      <c r="H14">
        <f t="shared" si="1"/>
        <v>112.08000000000001</v>
      </c>
      <c r="I14" t="s">
        <v>40</v>
      </c>
      <c r="L14" t="s">
        <v>31</v>
      </c>
    </row>
    <row r="15" spans="1:15" x14ac:dyDescent="0.55000000000000004">
      <c r="A15" s="5" t="s">
        <v>52</v>
      </c>
      <c r="B15" s="5" t="s">
        <v>12</v>
      </c>
      <c r="C15" s="5" t="s">
        <v>33</v>
      </c>
      <c r="D15" s="5">
        <v>6.3</v>
      </c>
      <c r="E15" s="5" t="s">
        <v>22</v>
      </c>
      <c r="F15" s="5" t="s">
        <v>18</v>
      </c>
      <c r="G15">
        <v>0.15311</v>
      </c>
      <c r="H15">
        <f t="shared" si="1"/>
        <v>0.96459299999999992</v>
      </c>
      <c r="I15" t="s">
        <v>40</v>
      </c>
      <c r="L15" t="s">
        <v>33</v>
      </c>
    </row>
    <row r="16" spans="1:15" x14ac:dyDescent="0.55000000000000004">
      <c r="A16" s="6" t="s">
        <v>53</v>
      </c>
      <c r="B16" s="6" t="s">
        <v>6</v>
      </c>
      <c r="C16" s="6" t="s">
        <v>6</v>
      </c>
      <c r="D16" s="6">
        <v>86</v>
      </c>
      <c r="E16" s="6" t="s">
        <v>19</v>
      </c>
      <c r="F16" s="6" t="s">
        <v>13</v>
      </c>
      <c r="G16">
        <v>0.16500000000000001</v>
      </c>
      <c r="H16">
        <f>D16*G16</f>
        <v>14.190000000000001</v>
      </c>
      <c r="I16" t="s">
        <v>38</v>
      </c>
      <c r="J16">
        <f>SUM(H16:H22)</f>
        <v>874.1654410000001</v>
      </c>
    </row>
    <row r="17" spans="1:10" x14ac:dyDescent="0.55000000000000004">
      <c r="A17" s="6" t="s">
        <v>53</v>
      </c>
      <c r="B17" s="6" t="s">
        <v>7</v>
      </c>
      <c r="C17" s="6" t="s">
        <v>7</v>
      </c>
      <c r="D17" s="6">
        <v>427</v>
      </c>
      <c r="E17" s="6" t="s">
        <v>19</v>
      </c>
      <c r="F17" s="6" t="s">
        <v>14</v>
      </c>
      <c r="G17">
        <v>0.184</v>
      </c>
      <c r="H17">
        <f t="shared" ref="H17:H22" si="2">D17*G17</f>
        <v>78.567999999999998</v>
      </c>
      <c r="I17" t="s">
        <v>39</v>
      </c>
    </row>
    <row r="18" spans="1:10" x14ac:dyDescent="0.55000000000000004">
      <c r="A18" s="6" t="s">
        <v>53</v>
      </c>
      <c r="B18" s="6" t="s">
        <v>8</v>
      </c>
      <c r="C18" s="6" t="s">
        <v>57</v>
      </c>
      <c r="D18" s="6">
        <v>5632.7039999999997</v>
      </c>
      <c r="E18" s="6" t="s">
        <v>20</v>
      </c>
      <c r="F18" s="6" t="s">
        <v>34</v>
      </c>
      <c r="G18">
        <v>0.112</v>
      </c>
      <c r="H18">
        <f t="shared" si="2"/>
        <v>630.86284799999999</v>
      </c>
      <c r="I18" t="s">
        <v>39</v>
      </c>
    </row>
    <row r="19" spans="1:10" x14ac:dyDescent="0.55000000000000004">
      <c r="A19" s="6" t="s">
        <v>53</v>
      </c>
      <c r="B19" s="6" t="s">
        <v>9</v>
      </c>
      <c r="C19" s="6" t="s">
        <v>30</v>
      </c>
      <c r="D19" s="6">
        <v>300</v>
      </c>
      <c r="E19" s="6" t="s">
        <v>20</v>
      </c>
      <c r="F19" s="6" t="s">
        <v>15</v>
      </c>
      <c r="G19">
        <v>0.125</v>
      </c>
      <c r="H19">
        <f t="shared" si="2"/>
        <v>37.5</v>
      </c>
      <c r="I19" t="s">
        <v>40</v>
      </c>
    </row>
    <row r="20" spans="1:10" x14ac:dyDescent="0.55000000000000004">
      <c r="A20" s="6" t="s">
        <v>53</v>
      </c>
      <c r="B20" s="6" t="s">
        <v>10</v>
      </c>
      <c r="C20" s="6" t="s">
        <v>59</v>
      </c>
      <c r="D20" s="6">
        <v>0</v>
      </c>
      <c r="E20" s="6" t="s">
        <v>20</v>
      </c>
      <c r="F20" s="6" t="s">
        <v>16</v>
      </c>
      <c r="G20">
        <v>4.1000000000000002E-2</v>
      </c>
      <c r="H20">
        <f t="shared" si="2"/>
        <v>0</v>
      </c>
      <c r="I20" t="s">
        <v>40</v>
      </c>
    </row>
    <row r="21" spans="1:10" x14ac:dyDescent="0.55000000000000004">
      <c r="A21" s="6" t="s">
        <v>53</v>
      </c>
      <c r="B21" s="6" t="s">
        <v>11</v>
      </c>
      <c r="C21" s="6" t="s">
        <v>31</v>
      </c>
      <c r="D21" s="6">
        <v>240</v>
      </c>
      <c r="E21" s="6" t="s">
        <v>21</v>
      </c>
      <c r="F21" s="6" t="s">
        <v>17</v>
      </c>
      <c r="G21">
        <v>0.46700000000000003</v>
      </c>
      <c r="H21">
        <f t="shared" si="2"/>
        <v>112.08000000000001</v>
      </c>
      <c r="I21" t="s">
        <v>40</v>
      </c>
    </row>
    <row r="22" spans="1:10" x14ac:dyDescent="0.55000000000000004">
      <c r="A22" s="6" t="s">
        <v>53</v>
      </c>
      <c r="B22" s="6" t="s">
        <v>12</v>
      </c>
      <c r="C22" s="6" t="s">
        <v>33</v>
      </c>
      <c r="D22" s="6">
        <v>6.3</v>
      </c>
      <c r="E22" s="6" t="s">
        <v>22</v>
      </c>
      <c r="F22" s="6" t="s">
        <v>18</v>
      </c>
      <c r="G22">
        <v>0.15311</v>
      </c>
      <c r="H22">
        <f t="shared" si="2"/>
        <v>0.96459299999999992</v>
      </c>
      <c r="I22" t="s">
        <v>40</v>
      </c>
    </row>
    <row r="23" spans="1:10" x14ac:dyDescent="0.55000000000000004">
      <c r="A23" s="7" t="s">
        <v>54</v>
      </c>
      <c r="B23" s="7" t="s">
        <v>6</v>
      </c>
      <c r="C23" s="7" t="s">
        <v>6</v>
      </c>
      <c r="D23" s="7">
        <v>175</v>
      </c>
      <c r="E23" s="7" t="s">
        <v>19</v>
      </c>
      <c r="F23" s="7" t="s">
        <v>13</v>
      </c>
      <c r="G23">
        <v>0.16500000000000001</v>
      </c>
      <c r="H23">
        <f>D23*G23</f>
        <v>28.875</v>
      </c>
      <c r="I23" t="s">
        <v>38</v>
      </c>
      <c r="J23">
        <f>SUM(H23:H29)</f>
        <v>851.70644100000004</v>
      </c>
    </row>
    <row r="24" spans="1:10" x14ac:dyDescent="0.55000000000000004">
      <c r="A24" s="7" t="s">
        <v>54</v>
      </c>
      <c r="B24" s="7" t="s">
        <v>7</v>
      </c>
      <c r="C24" s="7" t="s">
        <v>7</v>
      </c>
      <c r="D24" s="7">
        <v>361</v>
      </c>
      <c r="E24" s="7" t="s">
        <v>19</v>
      </c>
      <c r="F24" s="7" t="s">
        <v>14</v>
      </c>
      <c r="G24">
        <v>0.184</v>
      </c>
      <c r="H24">
        <f t="shared" ref="H24:H29" si="3">D24*G24</f>
        <v>66.423999999999992</v>
      </c>
      <c r="I24" t="s">
        <v>39</v>
      </c>
    </row>
    <row r="25" spans="1:10" x14ac:dyDescent="0.55000000000000004">
      <c r="A25" s="7" t="s">
        <v>54</v>
      </c>
      <c r="B25" s="7" t="s">
        <v>8</v>
      </c>
      <c r="C25" s="7" t="s">
        <v>57</v>
      </c>
      <c r="D25" s="7">
        <v>5632.7039999999997</v>
      </c>
      <c r="E25" s="7" t="s">
        <v>20</v>
      </c>
      <c r="F25" s="7" t="s">
        <v>34</v>
      </c>
      <c r="G25">
        <v>0.112</v>
      </c>
      <c r="H25">
        <f t="shared" si="3"/>
        <v>630.86284799999999</v>
      </c>
      <c r="I25" t="s">
        <v>39</v>
      </c>
    </row>
    <row r="26" spans="1:10" x14ac:dyDescent="0.55000000000000004">
      <c r="A26" s="7" t="s">
        <v>54</v>
      </c>
      <c r="B26" s="7" t="s">
        <v>9</v>
      </c>
      <c r="C26" s="7" t="s">
        <v>30</v>
      </c>
      <c r="D26" s="7">
        <v>100</v>
      </c>
      <c r="E26" s="7" t="s">
        <v>20</v>
      </c>
      <c r="F26" s="7" t="s">
        <v>15</v>
      </c>
      <c r="G26">
        <v>0.125</v>
      </c>
      <c r="H26">
        <f t="shared" si="3"/>
        <v>12.5</v>
      </c>
      <c r="I26" t="s">
        <v>40</v>
      </c>
    </row>
    <row r="27" spans="1:10" x14ac:dyDescent="0.55000000000000004">
      <c r="A27" s="7" t="s">
        <v>54</v>
      </c>
      <c r="B27" s="7" t="s">
        <v>10</v>
      </c>
      <c r="C27" s="7" t="s">
        <v>59</v>
      </c>
      <c r="D27" s="7">
        <v>0</v>
      </c>
      <c r="E27" s="7" t="s">
        <v>20</v>
      </c>
      <c r="F27" s="7" t="s">
        <v>16</v>
      </c>
      <c r="G27">
        <v>4.1000000000000002E-2</v>
      </c>
      <c r="H27">
        <f t="shared" si="3"/>
        <v>0</v>
      </c>
      <c r="I27" t="s">
        <v>40</v>
      </c>
    </row>
    <row r="28" spans="1:10" x14ac:dyDescent="0.55000000000000004">
      <c r="A28" s="7" t="s">
        <v>54</v>
      </c>
      <c r="B28" s="7" t="s">
        <v>11</v>
      </c>
      <c r="C28" s="7" t="s">
        <v>31</v>
      </c>
      <c r="D28" s="7">
        <v>240</v>
      </c>
      <c r="E28" s="7" t="s">
        <v>21</v>
      </c>
      <c r="F28" s="7" t="s">
        <v>17</v>
      </c>
      <c r="G28">
        <v>0.46700000000000003</v>
      </c>
      <c r="H28">
        <f t="shared" si="3"/>
        <v>112.08000000000001</v>
      </c>
      <c r="I28" t="s">
        <v>40</v>
      </c>
    </row>
    <row r="29" spans="1:10" x14ac:dyDescent="0.55000000000000004">
      <c r="A29" s="7" t="s">
        <v>54</v>
      </c>
      <c r="B29" s="7" t="s">
        <v>12</v>
      </c>
      <c r="C29" s="7" t="s">
        <v>33</v>
      </c>
      <c r="D29" s="7">
        <v>6.3</v>
      </c>
      <c r="E29" s="7" t="s">
        <v>22</v>
      </c>
      <c r="F29" s="7" t="s">
        <v>18</v>
      </c>
      <c r="G29">
        <v>0.15311</v>
      </c>
      <c r="H29">
        <f t="shared" si="3"/>
        <v>0.96459299999999992</v>
      </c>
      <c r="I29" t="s">
        <v>40</v>
      </c>
    </row>
    <row r="30" spans="1:10" x14ac:dyDescent="0.55000000000000004">
      <c r="A30" s="8" t="s">
        <v>55</v>
      </c>
      <c r="B30" s="8" t="s">
        <v>6</v>
      </c>
      <c r="C30" s="8" t="s">
        <v>6</v>
      </c>
      <c r="D30" s="8">
        <v>180</v>
      </c>
      <c r="E30" s="8" t="s">
        <v>19</v>
      </c>
      <c r="F30" s="8" t="s">
        <v>13</v>
      </c>
      <c r="G30">
        <v>0.16500000000000001</v>
      </c>
      <c r="H30">
        <f>D30*G30</f>
        <v>29.700000000000003</v>
      </c>
      <c r="I30" t="s">
        <v>38</v>
      </c>
      <c r="J30">
        <f>SUM(H30:H36)</f>
        <v>828.62344100000007</v>
      </c>
    </row>
    <row r="31" spans="1:10" x14ac:dyDescent="0.55000000000000004">
      <c r="A31" s="8" t="s">
        <v>55</v>
      </c>
      <c r="B31" s="8" t="s">
        <v>7</v>
      </c>
      <c r="C31" s="8" t="s">
        <v>7</v>
      </c>
      <c r="D31" s="8">
        <v>299</v>
      </c>
      <c r="E31" s="8" t="s">
        <v>19</v>
      </c>
      <c r="F31" s="8" t="s">
        <v>14</v>
      </c>
      <c r="G31">
        <v>0.184</v>
      </c>
      <c r="H31">
        <f t="shared" ref="H31:H36" si="4">D31*G31</f>
        <v>55.015999999999998</v>
      </c>
      <c r="I31" t="s">
        <v>39</v>
      </c>
    </row>
    <row r="32" spans="1:10" x14ac:dyDescent="0.55000000000000004">
      <c r="A32" s="8" t="s">
        <v>55</v>
      </c>
      <c r="B32" s="8" t="s">
        <v>8</v>
      </c>
      <c r="C32" s="8" t="s">
        <v>57</v>
      </c>
      <c r="D32" s="8">
        <v>5632.7039999999997</v>
      </c>
      <c r="E32" s="8" t="s">
        <v>20</v>
      </c>
      <c r="F32" s="8" t="s">
        <v>34</v>
      </c>
      <c r="G32">
        <v>0.112</v>
      </c>
      <c r="H32">
        <f t="shared" si="4"/>
        <v>630.86284799999999</v>
      </c>
      <c r="I32" t="s">
        <v>39</v>
      </c>
    </row>
    <row r="33" spans="1:10" x14ac:dyDescent="0.55000000000000004">
      <c r="A33" s="8" t="s">
        <v>55</v>
      </c>
      <c r="B33" s="8" t="s">
        <v>9</v>
      </c>
      <c r="C33" s="8" t="s">
        <v>30</v>
      </c>
      <c r="D33" s="8">
        <v>0</v>
      </c>
      <c r="E33" s="8" t="s">
        <v>20</v>
      </c>
      <c r="F33" s="8" t="s">
        <v>15</v>
      </c>
      <c r="G33">
        <v>0.125</v>
      </c>
      <c r="H33">
        <f t="shared" si="4"/>
        <v>0</v>
      </c>
      <c r="I33" t="s">
        <v>40</v>
      </c>
    </row>
    <row r="34" spans="1:10" x14ac:dyDescent="0.55000000000000004">
      <c r="A34" s="8" t="s">
        <v>55</v>
      </c>
      <c r="B34" s="8" t="s">
        <v>10</v>
      </c>
      <c r="C34" s="8" t="s">
        <v>59</v>
      </c>
      <c r="D34" s="8">
        <v>0</v>
      </c>
      <c r="E34" s="8" t="s">
        <v>20</v>
      </c>
      <c r="F34" s="8" t="s">
        <v>16</v>
      </c>
      <c r="G34">
        <v>4.1000000000000002E-2</v>
      </c>
      <c r="H34">
        <f t="shared" si="4"/>
        <v>0</v>
      </c>
      <c r="I34" t="s">
        <v>40</v>
      </c>
    </row>
    <row r="35" spans="1:10" x14ac:dyDescent="0.55000000000000004">
      <c r="A35" s="8" t="s">
        <v>55</v>
      </c>
      <c r="B35" s="8" t="s">
        <v>11</v>
      </c>
      <c r="C35" s="8" t="s">
        <v>31</v>
      </c>
      <c r="D35" s="8">
        <v>240</v>
      </c>
      <c r="E35" s="8" t="s">
        <v>21</v>
      </c>
      <c r="F35" s="8" t="s">
        <v>17</v>
      </c>
      <c r="G35">
        <v>0.46700000000000003</v>
      </c>
      <c r="H35">
        <f t="shared" si="4"/>
        <v>112.08000000000001</v>
      </c>
      <c r="I35" t="s">
        <v>40</v>
      </c>
    </row>
    <row r="36" spans="1:10" x14ac:dyDescent="0.55000000000000004">
      <c r="A36" s="8" t="s">
        <v>55</v>
      </c>
      <c r="B36" s="8" t="s">
        <v>12</v>
      </c>
      <c r="C36" s="8" t="s">
        <v>33</v>
      </c>
      <c r="D36" s="8">
        <v>6.3</v>
      </c>
      <c r="E36" s="8" t="s">
        <v>22</v>
      </c>
      <c r="F36" s="8" t="s">
        <v>18</v>
      </c>
      <c r="G36">
        <v>0.15311</v>
      </c>
      <c r="H36">
        <f t="shared" si="4"/>
        <v>0.96459299999999992</v>
      </c>
      <c r="I36" t="s">
        <v>40</v>
      </c>
    </row>
    <row r="37" spans="1:10" x14ac:dyDescent="0.55000000000000004">
      <c r="A37" s="9" t="s">
        <v>56</v>
      </c>
      <c r="B37" s="9" t="s">
        <v>6</v>
      </c>
      <c r="C37" s="9" t="s">
        <v>6</v>
      </c>
      <c r="D37" s="9">
        <v>125</v>
      </c>
      <c r="E37" s="9" t="s">
        <v>19</v>
      </c>
      <c r="F37" s="9" t="s">
        <v>13</v>
      </c>
      <c r="G37">
        <v>0.16500000000000001</v>
      </c>
      <c r="H37">
        <f>D37*G37</f>
        <v>20.625</v>
      </c>
      <c r="I37" t="s">
        <v>38</v>
      </c>
      <c r="J37">
        <f>SUM(H37:H43)</f>
        <v>840.66044100000011</v>
      </c>
    </row>
    <row r="38" spans="1:10" x14ac:dyDescent="0.55000000000000004">
      <c r="A38" s="9" t="s">
        <v>56</v>
      </c>
      <c r="B38" s="9" t="s">
        <v>7</v>
      </c>
      <c r="C38" s="9" t="s">
        <v>7</v>
      </c>
      <c r="D38" s="9">
        <v>142</v>
      </c>
      <c r="E38" s="9" t="s">
        <v>19</v>
      </c>
      <c r="F38" s="9" t="s">
        <v>14</v>
      </c>
      <c r="G38">
        <v>0.184</v>
      </c>
      <c r="H38">
        <f t="shared" ref="H38:H43" si="5">D38*G38</f>
        <v>26.128</v>
      </c>
      <c r="I38" t="s">
        <v>39</v>
      </c>
    </row>
    <row r="39" spans="1:10" x14ac:dyDescent="0.55000000000000004">
      <c r="A39" s="9" t="s">
        <v>56</v>
      </c>
      <c r="B39" s="9" t="s">
        <v>8</v>
      </c>
      <c r="C39" s="9" t="s">
        <v>57</v>
      </c>
      <c r="D39" s="9">
        <v>5632.7039999999997</v>
      </c>
      <c r="E39" s="9" t="s">
        <v>20</v>
      </c>
      <c r="F39" s="9" t="s">
        <v>34</v>
      </c>
      <c r="G39">
        <v>0.112</v>
      </c>
      <c r="H39">
        <f t="shared" si="5"/>
        <v>630.86284799999999</v>
      </c>
      <c r="I39" t="s">
        <v>39</v>
      </c>
    </row>
    <row r="40" spans="1:10" x14ac:dyDescent="0.55000000000000004">
      <c r="A40" s="9" t="s">
        <v>56</v>
      </c>
      <c r="B40" s="9" t="s">
        <v>9</v>
      </c>
      <c r="C40" s="9" t="s">
        <v>30</v>
      </c>
      <c r="D40" s="9">
        <v>400</v>
      </c>
      <c r="E40" s="9" t="s">
        <v>20</v>
      </c>
      <c r="F40" s="9" t="s">
        <v>15</v>
      </c>
      <c r="G40">
        <v>0.125</v>
      </c>
      <c r="H40">
        <f t="shared" si="5"/>
        <v>50</v>
      </c>
      <c r="I40" t="s">
        <v>40</v>
      </c>
    </row>
    <row r="41" spans="1:10" x14ac:dyDescent="0.55000000000000004">
      <c r="A41" s="9" t="s">
        <v>56</v>
      </c>
      <c r="B41" s="9" t="s">
        <v>10</v>
      </c>
      <c r="C41" s="9" t="s">
        <v>59</v>
      </c>
      <c r="D41" s="9">
        <v>0</v>
      </c>
      <c r="E41" s="9" t="s">
        <v>20</v>
      </c>
      <c r="F41" s="9" t="s">
        <v>16</v>
      </c>
      <c r="G41">
        <v>4.1000000000000002E-2</v>
      </c>
      <c r="H41">
        <f t="shared" si="5"/>
        <v>0</v>
      </c>
      <c r="I41" t="s">
        <v>40</v>
      </c>
    </row>
    <row r="42" spans="1:10" x14ac:dyDescent="0.55000000000000004">
      <c r="A42" s="9" t="s">
        <v>56</v>
      </c>
      <c r="B42" s="9" t="s">
        <v>11</v>
      </c>
      <c r="C42" s="9" t="s">
        <v>31</v>
      </c>
      <c r="D42" s="9">
        <v>240</v>
      </c>
      <c r="E42" s="9" t="s">
        <v>21</v>
      </c>
      <c r="F42" s="9" t="s">
        <v>17</v>
      </c>
      <c r="G42">
        <v>0.46700000000000003</v>
      </c>
      <c r="H42">
        <f t="shared" si="5"/>
        <v>112.08000000000001</v>
      </c>
      <c r="I42" t="s">
        <v>40</v>
      </c>
    </row>
    <row r="43" spans="1:10" x14ac:dyDescent="0.55000000000000004">
      <c r="A43" s="9" t="s">
        <v>56</v>
      </c>
      <c r="B43" s="9" t="s">
        <v>12</v>
      </c>
      <c r="C43" s="9" t="s">
        <v>33</v>
      </c>
      <c r="D43" s="9">
        <v>6.3</v>
      </c>
      <c r="E43" s="9" t="s">
        <v>22</v>
      </c>
      <c r="F43" s="9" t="s">
        <v>18</v>
      </c>
      <c r="G43">
        <v>0.15311</v>
      </c>
      <c r="H43">
        <f t="shared" si="5"/>
        <v>0.96459299999999992</v>
      </c>
      <c r="I43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8" sqref="C8"/>
    </sheetView>
  </sheetViews>
  <sheetFormatPr defaultRowHeight="14.4" x14ac:dyDescent="0.55000000000000004"/>
  <cols>
    <col min="1" max="1" width="21" bestFit="1" customWidth="1"/>
  </cols>
  <sheetData>
    <row r="1" spans="1:2" x14ac:dyDescent="0.55000000000000004">
      <c r="A1" s="1" t="s">
        <v>44</v>
      </c>
      <c r="B1" s="1" t="s">
        <v>45</v>
      </c>
    </row>
    <row r="2" spans="1:2" x14ac:dyDescent="0.55000000000000004">
      <c r="A2" t="s">
        <v>46</v>
      </c>
      <c r="B2">
        <v>5325.4790000000003</v>
      </c>
    </row>
    <row r="3" spans="1:2" x14ac:dyDescent="0.55000000000000004">
      <c r="A3" t="s">
        <v>47</v>
      </c>
      <c r="B3" s="15">
        <v>4376.0010880000009</v>
      </c>
    </row>
    <row r="4" spans="1:2" x14ac:dyDescent="0.55000000000000004">
      <c r="A4" t="s">
        <v>48</v>
      </c>
      <c r="B4" s="15">
        <v>152.46</v>
      </c>
    </row>
    <row r="5" spans="1:2" x14ac:dyDescent="0.55000000000000004">
      <c r="A5" t="s">
        <v>49</v>
      </c>
      <c r="B5" s="15">
        <v>797.01599999999996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>
    <row r="1" spans="1:1" x14ac:dyDescent="0.55000000000000004">
      <c r="A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Factors</vt:lpstr>
      <vt:lpstr>ScopeMapping</vt:lpstr>
      <vt:lpstr>PivotTable</vt:lpstr>
      <vt:lpstr>Calculations</vt:lpstr>
      <vt:lpstr>Summary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</dc:creator>
  <cp:lastModifiedBy>Riyaz</cp:lastModifiedBy>
  <dcterms:created xsi:type="dcterms:W3CDTF">2025-09-27T11:30:21Z</dcterms:created>
  <dcterms:modified xsi:type="dcterms:W3CDTF">2025-09-29T12:56:19Z</dcterms:modified>
</cp:coreProperties>
</file>